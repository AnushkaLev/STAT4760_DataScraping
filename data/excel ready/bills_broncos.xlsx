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nushkaLevaku/Downloads/"/>
    </mc:Choice>
  </mc:AlternateContent>
  <xr:revisionPtr revIDLastSave="0" documentId="13_ncr:1_{6B96B41A-1459-4F4A-88D2-C209DCAAE9F3}" xr6:coauthVersionLast="47" xr6:coauthVersionMax="47" xr10:uidLastSave="{00000000-0000-0000-0000-000000000000}"/>
  <bookViews>
    <workbookView xWindow="21140" yWindow="-20940" windowWidth="38080" windowHeight="20800" tabRatio="500" activeTab="1" xr2:uid="{00000000-000D-0000-FFFF-FFFF00000000}"/>
  </bookViews>
  <sheets>
    <sheet name="Model_Calculations" sheetId="1" r:id="rId1"/>
    <sheet name="Observed_vs_Expected" sheetId="2" r:id="rId2"/>
  </sheets>
  <definedNames>
    <definedName name="solver_adj" localSheetId="0" hidden="1">Model_Calculations!$B$101:$B$102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Model_Calculations!$B$101:$B$102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Model_Calculations!$H$201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0.00001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7" i="1" l="1"/>
  <c r="F211" i="1"/>
  <c r="F210" i="1"/>
  <c r="E108" i="1"/>
  <c r="E107" i="1"/>
  <c r="F103" i="1"/>
  <c r="D103" i="1"/>
  <c r="B103" i="1"/>
  <c r="B258" i="1" a="1"/>
  <c r="B258" i="1" s="1"/>
  <c r="F217" i="1"/>
  <c r="C108" i="1"/>
  <c r="C109" i="1" s="1"/>
  <c r="C110" i="1" s="1"/>
  <c r="D110" i="1" s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F213" i="1"/>
  <c r="F212" i="1"/>
  <c r="F209" i="1"/>
  <c r="F205" i="1"/>
  <c r="B201" i="1"/>
  <c r="C98" i="1"/>
  <c r="I197" i="1" s="1"/>
  <c r="F214" i="1" l="1"/>
  <c r="H107" i="1"/>
  <c r="F107" i="1"/>
  <c r="D109" i="1"/>
  <c r="D107" i="1"/>
  <c r="D108" i="1"/>
  <c r="G110" i="1"/>
  <c r="C111" i="1"/>
  <c r="I108" i="1"/>
  <c r="B6" i="2" s="1"/>
  <c r="I107" i="1"/>
  <c r="B5" i="2" s="1"/>
  <c r="I127" i="1"/>
  <c r="B25" i="2" s="1"/>
  <c r="I130" i="1"/>
  <c r="B28" i="2" s="1"/>
  <c r="I141" i="1"/>
  <c r="I167" i="1"/>
  <c r="I179" i="1"/>
  <c r="I184" i="1"/>
  <c r="B259" i="1"/>
  <c r="I135" i="1"/>
  <c r="I138" i="1"/>
  <c r="I143" i="1"/>
  <c r="I155" i="1"/>
  <c r="I160" i="1"/>
  <c r="I181" i="1"/>
  <c r="I157" i="1"/>
  <c r="I183" i="1"/>
  <c r="I195" i="1"/>
  <c r="I159" i="1"/>
  <c r="I171" i="1"/>
  <c r="I176" i="1"/>
  <c r="I194" i="1"/>
  <c r="I186" i="1"/>
  <c r="I178" i="1"/>
  <c r="I170" i="1"/>
  <c r="I162" i="1"/>
  <c r="I154" i="1"/>
  <c r="I146" i="1"/>
  <c r="F204" i="1"/>
  <c r="I196" i="1"/>
  <c r="I188" i="1"/>
  <c r="I180" i="1"/>
  <c r="I172" i="1"/>
  <c r="I164" i="1"/>
  <c r="I156" i="1"/>
  <c r="I148" i="1"/>
  <c r="I140" i="1"/>
  <c r="I132" i="1"/>
  <c r="I124" i="1"/>
  <c r="B22" i="2" s="1"/>
  <c r="I116" i="1"/>
  <c r="B14" i="2" s="1"/>
  <c r="I198" i="1"/>
  <c r="I190" i="1"/>
  <c r="I182" i="1"/>
  <c r="I174" i="1"/>
  <c r="I166" i="1"/>
  <c r="I158" i="1"/>
  <c r="I150" i="1"/>
  <c r="I142" i="1"/>
  <c r="I134" i="1"/>
  <c r="I126" i="1"/>
  <c r="B24" i="2" s="1"/>
  <c r="I118" i="1"/>
  <c r="B16" i="2" s="1"/>
  <c r="F206" i="1"/>
  <c r="I193" i="1"/>
  <c r="I185" i="1"/>
  <c r="I177" i="1"/>
  <c r="I169" i="1"/>
  <c r="I161" i="1"/>
  <c r="I153" i="1"/>
  <c r="I145" i="1"/>
  <c r="I137" i="1"/>
  <c r="I129" i="1"/>
  <c r="B27" i="2" s="1"/>
  <c r="I121" i="1"/>
  <c r="B19" i="2" s="1"/>
  <c r="I113" i="1"/>
  <c r="B11" i="2" s="1"/>
  <c r="I115" i="1"/>
  <c r="B13" i="2" s="1"/>
  <c r="I123" i="1"/>
  <c r="B21" i="2" s="1"/>
  <c r="I147" i="1"/>
  <c r="I152" i="1"/>
  <c r="I173" i="1"/>
  <c r="I131" i="1"/>
  <c r="B29" i="2" s="1"/>
  <c r="I149" i="1"/>
  <c r="I175" i="1"/>
  <c r="I187" i="1"/>
  <c r="I192" i="1"/>
  <c r="I112" i="1"/>
  <c r="B10" i="2" s="1"/>
  <c r="G109" i="1"/>
  <c r="I111" i="1"/>
  <c r="B9" i="2" s="1"/>
  <c r="I117" i="1"/>
  <c r="B15" i="2" s="1"/>
  <c r="I114" i="1"/>
  <c r="B12" i="2" s="1"/>
  <c r="I125" i="1"/>
  <c r="B23" i="2" s="1"/>
  <c r="I128" i="1"/>
  <c r="B26" i="2" s="1"/>
  <c r="I139" i="1"/>
  <c r="I151" i="1"/>
  <c r="I163" i="1"/>
  <c r="I168" i="1"/>
  <c r="I189" i="1"/>
  <c r="F207" i="1"/>
  <c r="F208" i="1" s="1"/>
  <c r="I120" i="1"/>
  <c r="B18" i="2" s="1"/>
  <c r="G108" i="1"/>
  <c r="I110" i="1"/>
  <c r="B8" i="2" s="1"/>
  <c r="G107" i="1"/>
  <c r="I109" i="1"/>
  <c r="B7" i="2" s="1"/>
  <c r="I119" i="1"/>
  <c r="B17" i="2" s="1"/>
  <c r="I122" i="1"/>
  <c r="B20" i="2" s="1"/>
  <c r="I133" i="1"/>
  <c r="I136" i="1"/>
  <c r="I144" i="1"/>
  <c r="I165" i="1"/>
  <c r="I191" i="1"/>
  <c r="E109" i="1" l="1"/>
  <c r="F108" i="1"/>
  <c r="H108" i="1"/>
  <c r="C112" i="1"/>
  <c r="D111" i="1"/>
  <c r="G111" i="1"/>
  <c r="I201" i="1"/>
  <c r="E110" i="1" l="1"/>
  <c r="F109" i="1"/>
  <c r="H109" i="1"/>
  <c r="D112" i="1"/>
  <c r="C113" i="1"/>
  <c r="G112" i="1"/>
  <c r="E111" i="1" l="1"/>
  <c r="F110" i="1"/>
  <c r="H110" i="1"/>
  <c r="C114" i="1"/>
  <c r="D113" i="1"/>
  <c r="G113" i="1"/>
  <c r="E112" i="1" l="1"/>
  <c r="F111" i="1"/>
  <c r="H111" i="1"/>
  <c r="C115" i="1"/>
  <c r="D114" i="1"/>
  <c r="G114" i="1"/>
  <c r="E113" i="1" l="1"/>
  <c r="F112" i="1"/>
  <c r="H112" i="1"/>
  <c r="D115" i="1"/>
  <c r="G115" i="1"/>
  <c r="C116" i="1"/>
  <c r="F113" i="1" l="1"/>
  <c r="H113" i="1"/>
  <c r="E114" i="1"/>
  <c r="D116" i="1"/>
  <c r="G116" i="1"/>
  <c r="C117" i="1"/>
  <c r="F114" i="1" l="1"/>
  <c r="H114" i="1"/>
  <c r="E115" i="1"/>
  <c r="D117" i="1"/>
  <c r="C118" i="1"/>
  <c r="G117" i="1"/>
  <c r="F115" i="1" l="1"/>
  <c r="E116" i="1"/>
  <c r="H115" i="1"/>
  <c r="D118" i="1"/>
  <c r="C119" i="1"/>
  <c r="G118" i="1"/>
  <c r="F116" i="1" l="1"/>
  <c r="H116" i="1"/>
  <c r="E117" i="1"/>
  <c r="D119" i="1"/>
  <c r="G119" i="1"/>
  <c r="C120" i="1"/>
  <c r="F117" i="1" l="1"/>
  <c r="E118" i="1"/>
  <c r="H117" i="1"/>
  <c r="D120" i="1"/>
  <c r="C121" i="1"/>
  <c r="G120" i="1"/>
  <c r="F118" i="1" l="1"/>
  <c r="H118" i="1"/>
  <c r="E119" i="1"/>
  <c r="D121" i="1"/>
  <c r="C122" i="1"/>
  <c r="G121" i="1"/>
  <c r="F119" i="1" l="1"/>
  <c r="H119" i="1"/>
  <c r="E120" i="1"/>
  <c r="D122" i="1"/>
  <c r="G122" i="1"/>
  <c r="C123" i="1"/>
  <c r="E121" i="1" l="1"/>
  <c r="F120" i="1"/>
  <c r="H120" i="1"/>
  <c r="D123" i="1"/>
  <c r="G123" i="1"/>
  <c r="C124" i="1"/>
  <c r="F121" i="1" l="1"/>
  <c r="E122" i="1"/>
  <c r="H121" i="1"/>
  <c r="D124" i="1"/>
  <c r="G124" i="1"/>
  <c r="C125" i="1"/>
  <c r="F122" i="1" l="1"/>
  <c r="H122" i="1"/>
  <c r="E123" i="1"/>
  <c r="D125" i="1"/>
  <c r="C126" i="1"/>
  <c r="G125" i="1"/>
  <c r="F123" i="1" l="1"/>
  <c r="E124" i="1"/>
  <c r="H123" i="1"/>
  <c r="D126" i="1"/>
  <c r="C127" i="1"/>
  <c r="G126" i="1"/>
  <c r="F124" i="1" l="1"/>
  <c r="H124" i="1"/>
  <c r="E125" i="1"/>
  <c r="D127" i="1"/>
  <c r="C128" i="1"/>
  <c r="G127" i="1"/>
  <c r="F125" i="1" l="1"/>
  <c r="E126" i="1"/>
  <c r="H125" i="1"/>
  <c r="D128" i="1"/>
  <c r="G128" i="1"/>
  <c r="C129" i="1"/>
  <c r="F126" i="1" l="1"/>
  <c r="H126" i="1"/>
  <c r="E127" i="1"/>
  <c r="D129" i="1"/>
  <c r="G129" i="1"/>
  <c r="C130" i="1"/>
  <c r="F127" i="1" l="1"/>
  <c r="E128" i="1"/>
  <c r="H127" i="1"/>
  <c r="D130" i="1"/>
  <c r="C131" i="1"/>
  <c r="G130" i="1"/>
  <c r="F128" i="1" l="1"/>
  <c r="E129" i="1"/>
  <c r="H128" i="1"/>
  <c r="D131" i="1"/>
  <c r="C132" i="1"/>
  <c r="G131" i="1"/>
  <c r="F129" i="1" l="1"/>
  <c r="H129" i="1"/>
  <c r="E130" i="1"/>
  <c r="D132" i="1"/>
  <c r="C133" i="1"/>
  <c r="G132" i="1"/>
  <c r="F130" i="1" l="1"/>
  <c r="H130" i="1"/>
  <c r="E131" i="1"/>
  <c r="D133" i="1"/>
  <c r="G133" i="1"/>
  <c r="C134" i="1"/>
  <c r="F131" i="1" l="1"/>
  <c r="H131" i="1"/>
  <c r="E132" i="1"/>
  <c r="D134" i="1"/>
  <c r="G134" i="1"/>
  <c r="C135" i="1"/>
  <c r="F132" i="1" l="1"/>
  <c r="H132" i="1"/>
  <c r="E133" i="1"/>
  <c r="D135" i="1"/>
  <c r="G135" i="1"/>
  <c r="C136" i="1"/>
  <c r="F133" i="1" l="1"/>
  <c r="E134" i="1"/>
  <c r="H133" i="1"/>
  <c r="D136" i="1"/>
  <c r="G136" i="1"/>
  <c r="C137" i="1"/>
  <c r="F134" i="1" l="1"/>
  <c r="E135" i="1"/>
  <c r="H134" i="1"/>
  <c r="D137" i="1"/>
  <c r="C138" i="1"/>
  <c r="G137" i="1"/>
  <c r="F135" i="1" l="1"/>
  <c r="E136" i="1"/>
  <c r="H135" i="1"/>
  <c r="D138" i="1"/>
  <c r="G138" i="1"/>
  <c r="C139" i="1"/>
  <c r="F136" i="1" l="1"/>
  <c r="E137" i="1"/>
  <c r="H136" i="1"/>
  <c r="D139" i="1"/>
  <c r="C140" i="1"/>
  <c r="G139" i="1"/>
  <c r="F137" i="1" l="1"/>
  <c r="E138" i="1"/>
  <c r="H137" i="1"/>
  <c r="D140" i="1"/>
  <c r="C141" i="1"/>
  <c r="G140" i="1"/>
  <c r="F138" i="1" l="1"/>
  <c r="E139" i="1"/>
  <c r="H138" i="1"/>
  <c r="D141" i="1"/>
  <c r="G141" i="1"/>
  <c r="C142" i="1"/>
  <c r="F139" i="1" l="1"/>
  <c r="E140" i="1"/>
  <c r="H139" i="1"/>
  <c r="D142" i="1"/>
  <c r="G142" i="1"/>
  <c r="C143" i="1"/>
  <c r="F140" i="1" l="1"/>
  <c r="E141" i="1"/>
  <c r="H140" i="1"/>
  <c r="D143" i="1"/>
  <c r="G143" i="1"/>
  <c r="C144" i="1"/>
  <c r="F141" i="1" l="1"/>
  <c r="E142" i="1"/>
  <c r="H141" i="1"/>
  <c r="D144" i="1"/>
  <c r="G144" i="1"/>
  <c r="C145" i="1"/>
  <c r="F142" i="1" l="1"/>
  <c r="E143" i="1"/>
  <c r="H142" i="1"/>
  <c r="D145" i="1"/>
  <c r="C146" i="1"/>
  <c r="G145" i="1"/>
  <c r="F143" i="1" l="1"/>
  <c r="E144" i="1"/>
  <c r="H143" i="1"/>
  <c r="D146" i="1"/>
  <c r="G146" i="1"/>
  <c r="C147" i="1"/>
  <c r="F144" i="1" l="1"/>
  <c r="E145" i="1"/>
  <c r="H144" i="1"/>
  <c r="D147" i="1"/>
  <c r="C148" i="1"/>
  <c r="G147" i="1"/>
  <c r="F145" i="1" l="1"/>
  <c r="H145" i="1"/>
  <c r="E146" i="1"/>
  <c r="D148" i="1"/>
  <c r="C149" i="1"/>
  <c r="G148" i="1"/>
  <c r="F146" i="1" l="1"/>
  <c r="H146" i="1"/>
  <c r="E147" i="1"/>
  <c r="D149" i="1"/>
  <c r="C150" i="1"/>
  <c r="G149" i="1"/>
  <c r="F147" i="1" l="1"/>
  <c r="E148" i="1"/>
  <c r="H147" i="1"/>
  <c r="D150" i="1"/>
  <c r="C151" i="1"/>
  <c r="G150" i="1"/>
  <c r="F148" i="1" l="1"/>
  <c r="E149" i="1"/>
  <c r="H148" i="1"/>
  <c r="D151" i="1"/>
  <c r="G151" i="1"/>
  <c r="C152" i="1"/>
  <c r="F149" i="1" l="1"/>
  <c r="H149" i="1"/>
  <c r="E150" i="1"/>
  <c r="D152" i="1"/>
  <c r="C153" i="1"/>
  <c r="G152" i="1"/>
  <c r="F150" i="1" l="1"/>
  <c r="E151" i="1"/>
  <c r="H150" i="1"/>
  <c r="D153" i="1"/>
  <c r="G153" i="1"/>
  <c r="C154" i="1"/>
  <c r="F151" i="1" l="1"/>
  <c r="H151" i="1"/>
  <c r="E152" i="1"/>
  <c r="D154" i="1"/>
  <c r="G154" i="1"/>
  <c r="C155" i="1"/>
  <c r="F152" i="1" l="1"/>
  <c r="H152" i="1"/>
  <c r="E153" i="1"/>
  <c r="D155" i="1"/>
  <c r="C156" i="1"/>
  <c r="G155" i="1"/>
  <c r="F153" i="1" l="1"/>
  <c r="E154" i="1"/>
  <c r="H153" i="1"/>
  <c r="D156" i="1"/>
  <c r="C157" i="1"/>
  <c r="G156" i="1"/>
  <c r="F154" i="1" l="1"/>
  <c r="H154" i="1"/>
  <c r="E155" i="1"/>
  <c r="D157" i="1"/>
  <c r="G157" i="1"/>
  <c r="C158" i="1"/>
  <c r="F155" i="1" l="1"/>
  <c r="H155" i="1"/>
  <c r="E156" i="1"/>
  <c r="D158" i="1"/>
  <c r="G158" i="1"/>
  <c r="C159" i="1"/>
  <c r="F156" i="1" l="1"/>
  <c r="E157" i="1"/>
  <c r="H156" i="1"/>
  <c r="D159" i="1"/>
  <c r="C160" i="1"/>
  <c r="G159" i="1"/>
  <c r="F157" i="1" l="1"/>
  <c r="H157" i="1"/>
  <c r="E158" i="1"/>
  <c r="D160" i="1"/>
  <c r="C161" i="1"/>
  <c r="G160" i="1"/>
  <c r="F158" i="1" l="1"/>
  <c r="H158" i="1"/>
  <c r="E159" i="1"/>
  <c r="D161" i="1"/>
  <c r="G161" i="1"/>
  <c r="C162" i="1"/>
  <c r="F159" i="1" l="1"/>
  <c r="E160" i="1"/>
  <c r="H159" i="1"/>
  <c r="D162" i="1"/>
  <c r="C163" i="1"/>
  <c r="G162" i="1"/>
  <c r="F160" i="1" l="1"/>
  <c r="E161" i="1"/>
  <c r="H160" i="1"/>
  <c r="D163" i="1"/>
  <c r="C164" i="1"/>
  <c r="G163" i="1"/>
  <c r="F161" i="1" l="1"/>
  <c r="H161" i="1"/>
  <c r="E162" i="1"/>
  <c r="D164" i="1"/>
  <c r="C165" i="1"/>
  <c r="G164" i="1"/>
  <c r="F162" i="1" l="1"/>
  <c r="H162" i="1"/>
  <c r="E163" i="1"/>
  <c r="D165" i="1"/>
  <c r="G165" i="1"/>
  <c r="C166" i="1"/>
  <c r="F163" i="1" l="1"/>
  <c r="H163" i="1"/>
  <c r="E164" i="1"/>
  <c r="D166" i="1"/>
  <c r="G166" i="1"/>
  <c r="C167" i="1"/>
  <c r="F164" i="1" l="1"/>
  <c r="H164" i="1"/>
  <c r="E165" i="1"/>
  <c r="D167" i="1"/>
  <c r="C168" i="1"/>
  <c r="G167" i="1"/>
  <c r="F165" i="1" l="1"/>
  <c r="E166" i="1"/>
  <c r="H165" i="1"/>
  <c r="D168" i="1"/>
  <c r="C169" i="1"/>
  <c r="G168" i="1"/>
  <c r="F166" i="1" l="1"/>
  <c r="E167" i="1"/>
  <c r="H166" i="1"/>
  <c r="D169" i="1"/>
  <c r="C170" i="1"/>
  <c r="G169" i="1"/>
  <c r="H167" i="1" l="1"/>
  <c r="F167" i="1"/>
  <c r="E168" i="1"/>
  <c r="D170" i="1"/>
  <c r="G170" i="1"/>
  <c r="C171" i="1"/>
  <c r="H168" i="1" l="1"/>
  <c r="F168" i="1"/>
  <c r="E169" i="1"/>
  <c r="D171" i="1"/>
  <c r="C172" i="1"/>
  <c r="G171" i="1"/>
  <c r="H169" i="1" l="1"/>
  <c r="F169" i="1"/>
  <c r="E170" i="1"/>
  <c r="D172" i="1"/>
  <c r="C173" i="1"/>
  <c r="G172" i="1"/>
  <c r="F170" i="1" l="1"/>
  <c r="H170" i="1"/>
  <c r="E171" i="1"/>
  <c r="D173" i="1"/>
  <c r="C174" i="1"/>
  <c r="G173" i="1"/>
  <c r="H171" i="1" l="1"/>
  <c r="F171" i="1"/>
  <c r="E172" i="1"/>
  <c r="D174" i="1"/>
  <c r="C175" i="1"/>
  <c r="G174" i="1"/>
  <c r="H172" i="1" l="1"/>
  <c r="F172" i="1"/>
  <c r="E173" i="1"/>
  <c r="D175" i="1"/>
  <c r="G175" i="1"/>
  <c r="C176" i="1"/>
  <c r="H173" i="1" l="1"/>
  <c r="F173" i="1"/>
  <c r="E174" i="1"/>
  <c r="D176" i="1"/>
  <c r="C177" i="1"/>
  <c r="G176" i="1"/>
  <c r="H174" i="1" l="1"/>
  <c r="F174" i="1"/>
  <c r="E175" i="1"/>
  <c r="D177" i="1"/>
  <c r="C178" i="1"/>
  <c r="G177" i="1"/>
  <c r="H175" i="1" l="1"/>
  <c r="F175" i="1"/>
  <c r="E176" i="1"/>
  <c r="D178" i="1"/>
  <c r="G178" i="1"/>
  <c r="C179" i="1"/>
  <c r="H176" i="1" l="1"/>
  <c r="F176" i="1"/>
  <c r="E177" i="1"/>
  <c r="D179" i="1"/>
  <c r="C180" i="1"/>
  <c r="G179" i="1"/>
  <c r="F177" i="1" l="1"/>
  <c r="H177" i="1"/>
  <c r="E178" i="1"/>
  <c r="D180" i="1"/>
  <c r="C181" i="1"/>
  <c r="G180" i="1"/>
  <c r="F178" i="1" l="1"/>
  <c r="H178" i="1"/>
  <c r="E179" i="1"/>
  <c r="D181" i="1"/>
  <c r="C182" i="1"/>
  <c r="G181" i="1"/>
  <c r="H179" i="1" l="1"/>
  <c r="F179" i="1"/>
  <c r="E180" i="1"/>
  <c r="D182" i="1"/>
  <c r="C183" i="1"/>
  <c r="G182" i="1"/>
  <c r="H180" i="1" l="1"/>
  <c r="F180" i="1"/>
  <c r="E181" i="1"/>
  <c r="D183" i="1"/>
  <c r="C184" i="1"/>
  <c r="G183" i="1"/>
  <c r="H181" i="1" l="1"/>
  <c r="F181" i="1"/>
  <c r="E182" i="1"/>
  <c r="D184" i="1"/>
  <c r="G184" i="1"/>
  <c r="C185" i="1"/>
  <c r="H182" i="1" l="1"/>
  <c r="F182" i="1"/>
  <c r="E183" i="1"/>
  <c r="D185" i="1"/>
  <c r="G185" i="1"/>
  <c r="C186" i="1"/>
  <c r="H183" i="1" l="1"/>
  <c r="F183" i="1"/>
  <c r="E184" i="1"/>
  <c r="D186" i="1"/>
  <c r="C187" i="1"/>
  <c r="G186" i="1"/>
  <c r="H184" i="1" l="1"/>
  <c r="F184" i="1"/>
  <c r="E185" i="1"/>
  <c r="D187" i="1"/>
  <c r="C188" i="1"/>
  <c r="G187" i="1"/>
  <c r="F185" i="1" l="1"/>
  <c r="H185" i="1"/>
  <c r="E186" i="1"/>
  <c r="D188" i="1"/>
  <c r="C189" i="1"/>
  <c r="G188" i="1"/>
  <c r="F186" i="1" l="1"/>
  <c r="H186" i="1"/>
  <c r="E187" i="1"/>
  <c r="D189" i="1"/>
  <c r="C190" i="1"/>
  <c r="G189" i="1"/>
  <c r="H187" i="1" l="1"/>
  <c r="F187" i="1"/>
  <c r="E188" i="1"/>
  <c r="D190" i="1"/>
  <c r="G190" i="1"/>
  <c r="C191" i="1"/>
  <c r="H188" i="1" l="1"/>
  <c r="F188" i="1"/>
  <c r="E189" i="1"/>
  <c r="D191" i="1"/>
  <c r="C192" i="1"/>
  <c r="G191" i="1"/>
  <c r="H189" i="1" l="1"/>
  <c r="F189" i="1"/>
  <c r="E190" i="1"/>
  <c r="D192" i="1"/>
  <c r="C193" i="1"/>
  <c r="G192" i="1"/>
  <c r="H190" i="1" l="1"/>
  <c r="F190" i="1"/>
  <c r="E191" i="1"/>
  <c r="D193" i="1"/>
  <c r="C194" i="1"/>
  <c r="G193" i="1"/>
  <c r="H191" i="1" l="1"/>
  <c r="F191" i="1"/>
  <c r="E192" i="1"/>
  <c r="D194" i="1"/>
  <c r="G194" i="1"/>
  <c r="C195" i="1"/>
  <c r="F192" i="1" l="1"/>
  <c r="H192" i="1"/>
  <c r="E193" i="1"/>
  <c r="D195" i="1"/>
  <c r="C196" i="1"/>
  <c r="G195" i="1"/>
  <c r="C227" i="1"/>
  <c r="E227" i="1" s="1"/>
  <c r="C234" i="1"/>
  <c r="E234" i="1" s="1"/>
  <c r="C241" i="1"/>
  <c r="E241" i="1" s="1"/>
  <c r="C256" i="1"/>
  <c r="E256" i="1" s="1"/>
  <c r="C247" i="1"/>
  <c r="E247" i="1" s="1"/>
  <c r="C231" i="1"/>
  <c r="E231" i="1" s="1"/>
  <c r="C253" i="1"/>
  <c r="E253" i="1" s="1"/>
  <c r="C246" i="1"/>
  <c r="E246" i="1" s="1"/>
  <c r="C228" i="1"/>
  <c r="E228" i="1" s="1"/>
  <c r="C238" i="1"/>
  <c r="E238" i="1" s="1"/>
  <c r="C242" i="1"/>
  <c r="E242" i="1" s="1"/>
  <c r="C233" i="1"/>
  <c r="E233" i="1" s="1"/>
  <c r="C244" i="1"/>
  <c r="E244" i="1" s="1"/>
  <c r="C237" i="1"/>
  <c r="E237" i="1" s="1"/>
  <c r="C254" i="1"/>
  <c r="E254" i="1" s="1"/>
  <c r="C245" i="1"/>
  <c r="E245" i="1" s="1"/>
  <c r="C236" i="1"/>
  <c r="E236" i="1" s="1"/>
  <c r="C229" i="1"/>
  <c r="E229" i="1" s="1"/>
  <c r="C252" i="1"/>
  <c r="E252" i="1" s="1"/>
  <c r="C257" i="1"/>
  <c r="E257" i="1" s="1"/>
  <c r="C255" i="1"/>
  <c r="E255" i="1" s="1"/>
  <c r="C251" i="1"/>
  <c r="E251" i="1" s="1"/>
  <c r="C230" i="1"/>
  <c r="E230" i="1" s="1"/>
  <c r="C250" i="1"/>
  <c r="E250" i="1" s="1"/>
  <c r="C249" i="1"/>
  <c r="E249" i="1" s="1"/>
  <c r="C248" i="1"/>
  <c r="E248" i="1" s="1"/>
  <c r="C232" i="1"/>
  <c r="E232" i="1" s="1"/>
  <c r="C243" i="1"/>
  <c r="E243" i="1" s="1"/>
  <c r="C240" i="1"/>
  <c r="E240" i="1" s="1"/>
  <c r="C235" i="1"/>
  <c r="E235" i="1" s="1"/>
  <c r="C239" i="1"/>
  <c r="E239" i="1" s="1"/>
  <c r="F193" i="1" l="1"/>
  <c r="H193" i="1"/>
  <c r="E194" i="1"/>
  <c r="D196" i="1"/>
  <c r="G196" i="1"/>
  <c r="C197" i="1"/>
  <c r="F240" i="1"/>
  <c r="D240" i="1"/>
  <c r="D243" i="1"/>
  <c r="F243" i="1"/>
  <c r="F230" i="1"/>
  <c r="D230" i="1"/>
  <c r="D255" i="1"/>
  <c r="F255" i="1"/>
  <c r="C226" i="1"/>
  <c r="E226" i="1" s="1"/>
  <c r="F233" i="1"/>
  <c r="D233" i="1"/>
  <c r="D246" i="1"/>
  <c r="F246" i="1"/>
  <c r="D253" i="1"/>
  <c r="F253" i="1"/>
  <c r="F252" i="1"/>
  <c r="D252" i="1"/>
  <c r="D250" i="1"/>
  <c r="F250" i="1"/>
  <c r="D238" i="1"/>
  <c r="F238" i="1"/>
  <c r="D231" i="1"/>
  <c r="F231" i="1"/>
  <c r="D256" i="1"/>
  <c r="F256" i="1"/>
  <c r="D234" i="1"/>
  <c r="F234" i="1"/>
  <c r="D254" i="1"/>
  <c r="F254" i="1"/>
  <c r="D239" i="1"/>
  <c r="F239" i="1"/>
  <c r="F232" i="1"/>
  <c r="D232" i="1"/>
  <c r="F229" i="1"/>
  <c r="D229" i="1"/>
  <c r="F241" i="1"/>
  <c r="D241" i="1"/>
  <c r="D237" i="1"/>
  <c r="F237" i="1"/>
  <c r="F249" i="1"/>
  <c r="D249" i="1"/>
  <c r="D236" i="1"/>
  <c r="F236" i="1"/>
  <c r="D247" i="1"/>
  <c r="F247" i="1"/>
  <c r="D227" i="1"/>
  <c r="F227" i="1"/>
  <c r="F242" i="1"/>
  <c r="D242" i="1"/>
  <c r="D251" i="1"/>
  <c r="F251" i="1"/>
  <c r="F228" i="1"/>
  <c r="D228" i="1"/>
  <c r="F257" i="1"/>
  <c r="D257" i="1"/>
  <c r="F235" i="1"/>
  <c r="D235" i="1"/>
  <c r="F248" i="1"/>
  <c r="D248" i="1"/>
  <c r="D245" i="1"/>
  <c r="F245" i="1"/>
  <c r="D244" i="1"/>
  <c r="F244" i="1"/>
  <c r="F194" i="1" l="1"/>
  <c r="H194" i="1"/>
  <c r="E195" i="1"/>
  <c r="D197" i="1"/>
  <c r="C198" i="1"/>
  <c r="G197" i="1"/>
  <c r="F226" i="1"/>
  <c r="D226" i="1"/>
  <c r="H195" i="1" l="1"/>
  <c r="F195" i="1"/>
  <c r="E196" i="1"/>
  <c r="D198" i="1"/>
  <c r="G198" i="1"/>
  <c r="G201" i="1" s="1"/>
  <c r="C199" i="1"/>
  <c r="C201" i="1"/>
  <c r="D201" i="1"/>
  <c r="H196" i="1" l="1"/>
  <c r="F196" i="1"/>
  <c r="E197" i="1"/>
  <c r="F215" i="1"/>
  <c r="D14" i="2"/>
  <c r="D7" i="2"/>
  <c r="D6" i="2"/>
  <c r="D5" i="2"/>
  <c r="D20" i="2"/>
  <c r="D28" i="2"/>
  <c r="D8" i="2"/>
  <c r="D23" i="2"/>
  <c r="D11" i="2"/>
  <c r="D24" i="2"/>
  <c r="D25" i="2"/>
  <c r="D26" i="2"/>
  <c r="D27" i="2"/>
  <c r="D10" i="2"/>
  <c r="D13" i="2"/>
  <c r="D21" i="2"/>
  <c r="D29" i="2"/>
  <c r="D9" i="2"/>
  <c r="D22" i="2"/>
  <c r="D12" i="2"/>
  <c r="D15" i="2"/>
  <c r="D16" i="2"/>
  <c r="D17" i="2"/>
  <c r="D18" i="2"/>
  <c r="D19" i="2"/>
  <c r="H197" i="1" l="1"/>
  <c r="F197" i="1"/>
  <c r="E198" i="1"/>
  <c r="E200" i="1" s="1"/>
  <c r="E201" i="1" l="1"/>
  <c r="C5" i="2"/>
  <c r="C10" i="2"/>
  <c r="C7" i="2"/>
  <c r="C23" i="2"/>
  <c r="C22" i="2"/>
  <c r="C26" i="2"/>
  <c r="C28" i="2"/>
  <c r="C25" i="2"/>
  <c r="C20" i="2"/>
  <c r="C17" i="2"/>
  <c r="C8" i="2"/>
  <c r="C9" i="2"/>
  <c r="C13" i="2"/>
  <c r="C21" i="2"/>
  <c r="C14" i="2"/>
  <c r="C12" i="2"/>
  <c r="C11" i="2"/>
  <c r="C29" i="2"/>
  <c r="C15" i="2"/>
  <c r="C19" i="2"/>
  <c r="C16" i="2"/>
  <c r="C6" i="2"/>
  <c r="C24" i="2"/>
  <c r="C18" i="2"/>
  <c r="C27" i="2"/>
  <c r="H198" i="1"/>
  <c r="H201" i="1" s="1"/>
  <c r="F221" i="1" s="1"/>
  <c r="F198" i="1"/>
  <c r="C258" i="1" s="1" a="1"/>
  <c r="C258" i="1" s="1"/>
  <c r="E258" i="1" l="1"/>
  <c r="F258" i="1"/>
  <c r="D258" i="1"/>
  <c r="F201" i="1"/>
  <c r="F216" i="1"/>
  <c r="F218" i="1"/>
  <c r="F219" i="1"/>
  <c r="C259" i="1" l="1"/>
  <c r="E259" i="1"/>
  <c r="E26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<sst xmlns="http://schemas.openxmlformats.org/spreadsheetml/2006/main" count="101" uniqueCount="92">
  <si>
    <t>NBD Model — Bills vs Broncos (Combined Threads)</t>
  </si>
  <si>
    <t>SECTION A — Raw Histogram Data  (full tail, from histogram CSV)</t>
  </si>
  <si>
    <t>Row</t>
  </si>
  <si>
    <t>x
(# comments)</t>
  </si>
  <si>
    <t>TOTAL</t>
  </si>
  <si>
    <t>x</t>
  </si>
  <si>
    <t>NBD
Expected (E)</t>
  </si>
  <si>
    <t>Unique Users  (x ≥ 1 — lurkers excluded)</t>
  </si>
  <si>
    <t>Mean Comments / User  (= Total / N)</t>
  </si>
  <si>
    <t>Variance / Mean  (&gt;1 confirms overdispersion)</t>
  </si>
  <si>
    <t>Max Comments  (single user)</t>
  </si>
  <si>
    <t>LL Improvement  (NBD LL − Poisson LL)</t>
  </si>
  <si>
    <t>LRT Statistic  = 2 × LL Improvement</t>
  </si>
  <si>
    <t>LRT df = 1  (NBD has 2 params, Poisson has 1 — difference = 1)</t>
  </si>
  <si>
    <t>LRT p-value  =CHIDIST(LRT statistic, df=1)</t>
  </si>
  <si>
    <t>Top 5% Users — share of comments  (top 5% of users by comment volume, share of total comments)</t>
  </si>
  <si>
    <t>Bin
(x range)</t>
  </si>
  <si>
    <t>Actual
(O)</t>
  </si>
  <si>
    <t>O − E</t>
  </si>
  <si>
    <t>(O−E)²/E
(χ² comp.)</t>
  </si>
  <si>
    <t>E ≥ 5?
(check)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</si>
  <si>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</si>
  <si>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</si>
  <si>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</si>
  <si>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</si>
  <si>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</si>
  <si>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</si>
  <si>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</si>
  <si>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</si>
  <si>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</si>
  <si>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</si>
  <si>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</si>
  <si>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</si>
  <si>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</si>
  <si>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</si>
  <si>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</si>
  <si>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</si>
  <si>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</si>
  <si>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</si>
  <si>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</si>
  <si>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</si>
  <si>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</si>
  <si>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</si>
  <si>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</si>
  <si>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</si>
  <si>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</si>
  <si>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</si>
  <si>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</si>
  <si>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</si>
  <si>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</si>
  <si>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</si>
  <si>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</si>
  <si>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</si>
  <si>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Degrees of Freedom  (bins − 1 − 2 MLE params)</t>
  </si>
  <si>
    <t>χ² p-value</t>
  </si>
  <si>
    <t>Observed vs Expected — Bills vs Broncos (Combined Threads)</t>
  </si>
  <si>
    <t>Left-truncated at x=1. Proportions conditional on x≥1. Bars = Observed; Line = NBD Expected.</t>
  </si>
  <si>
    <t>Observed Proportion</t>
  </si>
  <si>
    <t>NBD Expected Proportion</t>
  </si>
  <si>
    <t>Poisson Expected Proportion</t>
  </si>
  <si>
    <t>Note: Poisson is nested within NBD, therefore LRT is valid</t>
  </si>
  <si>
    <t>MLE  α  ← SOLVER INPUT (yellow cell in Section B)</t>
  </si>
  <si>
    <t>NBD Mean = r/α</t>
  </si>
  <si>
    <t>MLE  r  ← SOLVER INPUT (yellow cell in Section B)</t>
  </si>
  <si>
    <t>MoM  α = mean / (variance − mean)</t>
  </si>
  <si>
    <t>MoM  r = mean² / (variance − mean)  × (mean / variance)</t>
  </si>
  <si>
    <t>Poisson LL</t>
  </si>
  <si>
    <t>NBD LL</t>
  </si>
  <si>
    <t>Actual
Count (n_x)</t>
  </si>
  <si>
    <t xml:space="preserve">SECTION C — Full Histogram with Model Probabilities </t>
  </si>
  <si>
    <t>Actual Count
(n_x)</t>
  </si>
  <si>
    <t>Left-truncated at x=1: lurkers (x=0) are unobserved. All statistics are conditional on participation.</t>
  </si>
  <si>
    <t xml:space="preserve">SECTION D — Summary Statistics </t>
  </si>
  <si>
    <t>SUM PMF (NBD)</t>
  </si>
  <si>
    <t>SUM PMF (Poisson)</t>
  </si>
  <si>
    <t>Poisson 
PMF P(X=x|λ)</t>
  </si>
  <si>
    <t>Poisson 
Expected</t>
  </si>
  <si>
    <t>NBD 
PMF P(X=x|r,α)</t>
  </si>
  <si>
    <t>NBD 
Expected</t>
  </si>
  <si>
    <t>r</t>
  </si>
  <si>
    <t>α</t>
  </si>
  <si>
    <t>λ</t>
  </si>
  <si>
    <t>SECTION E — χ² Goodness of Fit , Binned for Chi-Square Only</t>
  </si>
  <si>
    <t>Poisson PMF (No Observed Zeroes)</t>
  </si>
  <si>
    <t>NBD PMF (No Observed Zeroes)</t>
  </si>
  <si>
    <t>Actual 
Proportion</t>
  </si>
  <si>
    <t>SECTION B — Solver Inputs + λ</t>
  </si>
  <si>
    <t>Variance</t>
  </si>
  <si>
    <t>Poisson  λ</t>
  </si>
  <si>
    <t>computed using python script</t>
  </si>
  <si>
    <t>33+</t>
  </si>
  <si>
    <t xml:space="preserve">Total Comments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</si>
</sst>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8" formatCode="0.00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7F3F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BDD7EF"/>
        <bgColor rgb="FFF2F2F2"/>
      </patternFill>
    </fill>
    <fill>
      <patternFill patternType="solid">
        <fgColor rgb="FFE3F0DB"/>
        <bgColor rgb="FFF2F2F2"/>
      </patternFill>
    </fill>
    <fill>
      <patternFill patternType="solid">
        <fgColor rgb="FFFFF2CD"/>
        <bgColor rgb="FFF2F2F2"/>
      </patternFill>
    </fill>
    <fill>
      <patternFill patternType="solid">
        <fgColor rgb="FFBDD7E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indent="1"/>
    </xf>
    <xf numFmtId="165" fontId="5" fillId="6" borderId="2" xfId="0" applyNumberFormat="1" applyFont="1" applyFill="1" applyBorder="1" applyAlignment="1">
      <alignment horizontal="center" vertical="center"/>
    </xf>
    <xf numFmtId="165" fontId="5" fillId="9" borderId="2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10" fontId="5" fillId="6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2" fillId="3" borderId="1" xfId="0" applyNumberFormat="1" applyFont="1" applyFill="1" applyBorder="1" applyAlignment="1">
      <alignment horizontal="left" vertical="center" indent="1"/>
    </xf>
    <xf numFmtId="2" fontId="2" fillId="3" borderId="2" xfId="0" applyNumberFormat="1" applyFont="1" applyFill="1" applyBorder="1" applyAlignment="1">
      <alignment horizontal="left" vertical="center" indent="1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2" fontId="4" fillId="5" borderId="2" xfId="0" applyNumberFormat="1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left" vertical="center" indent="1"/>
    </xf>
    <xf numFmtId="2" fontId="3" fillId="4" borderId="3" xfId="0" applyNumberFormat="1" applyFont="1" applyFill="1" applyBorder="1" applyAlignment="1">
      <alignment horizontal="left" vertical="center" indent="1"/>
    </xf>
    <xf numFmtId="2" fontId="5" fillId="5" borderId="1" xfId="0" applyNumberFormat="1" applyFont="1" applyFill="1" applyBorder="1" applyAlignment="1">
      <alignment horizontal="left" vertical="center"/>
    </xf>
    <xf numFmtId="2" fontId="5" fillId="5" borderId="3" xfId="0" applyNumberFormat="1" applyFont="1" applyFill="1" applyBorder="1" applyAlignment="1">
      <alignment horizontal="left" vertical="center"/>
    </xf>
    <xf numFmtId="2" fontId="5" fillId="5" borderId="4" xfId="0" applyNumberFormat="1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left" vertical="center"/>
    </xf>
    <xf numFmtId="2" fontId="6" fillId="5" borderId="4" xfId="0" applyNumberFormat="1" applyFont="1" applyFill="1" applyBorder="1" applyAlignment="1">
      <alignment horizontal="left" vertical="center"/>
    </xf>
    <xf numFmtId="165" fontId="0" fillId="0" borderId="0" xfId="0" applyNumberFormat="1"/>
    <xf numFmtId="165" fontId="3" fillId="0" borderId="5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7" xfId="0" applyNumberFormat="1" applyBorder="1"/>
    <xf numFmtId="165" fontId="5" fillId="3" borderId="2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left" vertical="center"/>
    </xf>
    <xf numFmtId="2" fontId="5" fillId="3" borderId="3" xfId="0" applyNumberFormat="1" applyFont="1" applyFill="1" applyBorder="1" applyAlignment="1">
      <alignment horizontal="left" vertical="center"/>
    </xf>
    <xf numFmtId="2" fontId="5" fillId="3" borderId="4" xfId="0" applyNumberFormat="1" applyFont="1" applyFill="1" applyBorder="1" applyAlignment="1">
      <alignment horizontal="left" vertical="center"/>
    </xf>
    <xf numFmtId="2" fontId="5" fillId="7" borderId="1" xfId="0" applyNumberFormat="1" applyFont="1" applyFill="1" applyBorder="1" applyAlignment="1">
      <alignment horizontal="left" vertical="center"/>
    </xf>
    <xf numFmtId="2" fontId="5" fillId="7" borderId="3" xfId="0" applyNumberFormat="1" applyFont="1" applyFill="1" applyBorder="1" applyAlignment="1">
      <alignment horizontal="left" vertical="center"/>
    </xf>
    <xf numFmtId="2" fontId="5" fillId="7" borderId="4" xfId="0" applyNumberFormat="1" applyFont="1" applyFill="1" applyBorder="1" applyAlignment="1">
      <alignment horizontal="left" vertical="center"/>
    </xf>
    <xf numFmtId="1" fontId="5" fillId="0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168" fontId="5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F"/>
      <color rgb="FFFFF2CD"/>
      <color rgb="FFE3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US" sz="1800" b="1" i="0" u="none" strike="noStrike" kern="1200" cap="none" spc="-1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alibri"/>
              </a:rPr>
              <a:t>Observed vs NBD Expected — Bills vs Broncos (Combined Threads)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Observed_vs_Expected!$B$4</c:f>
              <c:strCache>
                <c:ptCount val="1"/>
                <c:pt idx="0">
                  <c:v>Observed Proportion</c:v>
                </c:pt>
              </c:strCache>
            </c:strRef>
          </c:tx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Observed_vs_Expected!$B$5:$B$29</c:f>
              <c:numCache>
                <c:formatCode>0.000%</c:formatCode>
                <c:ptCount val="25"/>
                <c:pt idx="0">
                  <c:v>0.419748260495661</c:v>
                </c:pt>
                <c:pt idx="1">
                  <c:v>0.17301227425533577</c:v>
                </c:pt>
                <c:pt idx="2">
                  <c:v>9.2721444765850994E-2</c:v>
                </c:pt>
                <c:pt idx="3">
                  <c:v>6.2778516144163868E-2</c:v>
                </c:pt>
                <c:pt idx="4">
                  <c:v>4.2608083808928152E-2</c:v>
                </c:pt>
                <c:pt idx="5">
                  <c:v>2.90829489484794E-2</c:v>
                </c:pt>
                <c:pt idx="6">
                  <c:v>2.4548510671565944E-2</c:v>
                </c:pt>
                <c:pt idx="7">
                  <c:v>2.0170432335235713E-2</c:v>
                </c:pt>
                <c:pt idx="8">
                  <c:v>1.6339613790946759E-2</c:v>
                </c:pt>
                <c:pt idx="9">
                  <c:v>1.1648815573450082E-2</c:v>
                </c:pt>
                <c:pt idx="10">
                  <c:v>1.0632475959659136E-2</c:v>
                </c:pt>
                <c:pt idx="11">
                  <c:v>1.0788835900242358E-2</c:v>
                </c:pt>
                <c:pt idx="12">
                  <c:v>7.7398170588695173E-3</c:v>
                </c:pt>
                <c:pt idx="13">
                  <c:v>6.9580173559534051E-3</c:v>
                </c:pt>
                <c:pt idx="14">
                  <c:v>7.27073723711985E-3</c:v>
                </c:pt>
                <c:pt idx="15">
                  <c:v>5.4725979204127903E-3</c:v>
                </c:pt>
                <c:pt idx="16">
                  <c:v>4.22171839574701E-3</c:v>
                </c:pt>
                <c:pt idx="17">
                  <c:v>4.8471581580798997E-3</c:v>
                </c:pt>
                <c:pt idx="18">
                  <c:v>4.22171839574701E-3</c:v>
                </c:pt>
                <c:pt idx="19">
                  <c:v>3.3617387225392853E-3</c:v>
                </c:pt>
                <c:pt idx="20">
                  <c:v>3.5962786334141194E-3</c:v>
                </c:pt>
                <c:pt idx="21">
                  <c:v>3.4399186928308965E-3</c:v>
                </c:pt>
                <c:pt idx="22">
                  <c:v>1.641779376123837E-3</c:v>
                </c:pt>
                <c:pt idx="23">
                  <c:v>1.8763192869986709E-3</c:v>
                </c:pt>
                <c:pt idx="24">
                  <c:v>1.7199593464154483E-3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7-AF49-8989-5FAB6B46BF79}"/>
            </c:ext>
          </c:extLst>
        </c:ser>
        <c:ser>
          <c:idx val="1"/>
          <c:order val="1"/>
          <c:tx>
            <c:strRef>
              <c:f>Observed_vs_Expected!$C$4</c:f>
              <c:strCache>
                <c:ptCount val="1"/>
                <c:pt idx="0">
                  <c:v>NBD Expected Proportion</c:v>
                </c:pt>
              </c:strCache>
            </c:strRef>
          </c:tx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Observed_vs_Expected!$C$5:$C$29</c:f>
              <c:numCache>
                <c:formatCode>0.000%</c:formatCode>
                <c:ptCount val="25"/>
                <c:pt idx="0">
                  <c:v>0.17596664158243111</c:v>
                </c:pt>
                <c:pt idx="1">
                  <c:v>0.14374926482499994</c:v>
                </c:pt>
                <c:pt idx="2">
                  <c:v>0.11807609662876076</c:v>
                </c:pt>
                <c:pt idx="3">
                  <c:v>9.7253222349772225E-2</c:v>
                </c:pt>
                <c:pt idx="4">
                  <c:v>8.0233521778644915E-2</c:v>
                </c:pt>
                <c:pt idx="5">
                  <c:v>6.6264404034113156E-2</c:v>
                </c:pt>
                <c:pt idx="6">
                  <c:v>5.476990447295723E-2</c:v>
                </c:pt>
                <c:pt idx="7">
                  <c:v>4.5295643454709593E-2</c:v>
                </c:pt>
                <c:pt idx="8">
                  <c:v>3.747722061409104E-2</c:v>
                </c:pt>
                <c:pt idx="9">
                  <c:v>3.1019546660016536E-2</c:v>
                </c:pt>
                <c:pt idx="10">
                  <c:v>2.5682188888832846E-2</c:v>
                </c:pt>
                <c:pt idx="11">
                  <c:v>2.1268442851300428E-2</c:v>
                </c:pt>
                <c:pt idx="12">
                  <c:v>1.7616917883329839E-2</c:v>
                </c:pt>
                <c:pt idx="13">
                  <c:v>1.4594922305865111E-2</c:v>
                </c:pt>
                <c:pt idx="14">
                  <c:v>1.2093190829884628E-2</c:v>
                </c:pt>
                <c:pt idx="15">
                  <c:v>1.0021641659067798E-2</c:v>
                </c:pt>
                <c:pt idx="16">
                  <c:v>8.3059392220284235E-3</c:v>
                </c:pt>
                <c:pt idx="17">
                  <c:v>6.8846960241340481E-3</c:v>
                </c:pt>
                <c:pt idx="18">
                  <c:v>5.7071865899226363E-3</c:v>
                </c:pt>
                <c:pt idx="19">
                  <c:v>4.7314747029871419E-3</c:v>
                </c:pt>
                <c:pt idx="20">
                  <c:v>3.9228760120841233E-3</c:v>
                </c:pt>
                <c:pt idx="21">
                  <c:v>3.2526938773018246E-3</c:v>
                </c:pt>
                <c:pt idx="22">
                  <c:v>2.6971785361560568E-3</c:v>
                </c:pt>
                <c:pt idx="23">
                  <c:v>2.2366692353133527E-3</c:v>
                </c:pt>
                <c:pt idx="24">
                  <c:v>1.8548865550895475E-3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7-AF49-8989-5FAB6B46BF79}"/>
            </c:ext>
          </c:extLst>
        </c:ser>
        <c:ser>
          <c:idx val="2"/>
          <c:order val="2"/>
          <c:tx>
            <c:strRef>
              <c:f>Observed_vs_Expected!$D$4</c:f>
              <c:strCache>
                <c:ptCount val="1"/>
                <c:pt idx="0">
                  <c:v>Poisson Expected Proportion</c:v>
                </c:pt>
              </c:strCache>
            </c:strRef>
          </c:tx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Observed_vs_Expected!$D$5:$D$29</c:f>
              <c:numCache>
                <c:formatCode>0.000%</c:formatCode>
                <c:ptCount val="25"/>
                <c:pt idx="0">
                  <c:v>4.0270791436366263E-2</c:v>
                </c:pt>
                <c:pt idx="1">
                  <c:v>9.6373157787732755E-2</c:v>
                </c:pt>
                <c:pt idx="2">
                  <c:v>0.15375553365446504</c:v>
                </c:pt>
                <c:pt idx="3">
                  <c:v>0.18397833488116655</c:v>
                </c:pt>
                <c:pt idx="4">
                  <c:v>0.17611348041216321</c:v>
                </c:pt>
                <c:pt idx="5">
                  <c:v>0.14048736591239991</c:v>
                </c:pt>
                <c:pt idx="6">
                  <c:v>9.6058356082100532E-2</c:v>
                </c:pt>
                <c:pt idx="7">
                  <c:v>5.746998492790123E-2</c:v>
                </c:pt>
                <c:pt idx="8">
                  <c:v>3.0562895328060891E-2</c:v>
                </c:pt>
                <c:pt idx="9">
                  <c:v>1.4628183995615791E-2</c:v>
                </c:pt>
                <c:pt idx="10">
                  <c:v>6.364930259170825E-3</c:v>
                </c:pt>
                <c:pt idx="11">
                  <c:v>2.5386821163102774E-3</c:v>
                </c:pt>
                <c:pt idx="12">
                  <c:v>9.3467557021843187E-4</c:v>
                </c:pt>
                <c:pt idx="13">
                  <c:v>3.1954260855480206E-4</c:v>
                </c:pt>
                <c:pt idx="14">
                  <c:v>1.0196084767067228E-4</c:v>
                </c:pt>
                <c:pt idx="15">
                  <c:v>3.0500669685942401E-5</c:v>
                </c:pt>
                <c:pt idx="16">
                  <c:v>8.5872948297427875E-6</c:v>
                </c:pt>
                <c:pt idx="17">
                  <c:v>2.2833883927574218E-6</c:v>
                </c:pt>
                <c:pt idx="18">
                  <c:v>5.7520427929589526E-7</c:v>
                </c:pt>
                <c:pt idx="19">
                  <c:v>1.3765374553504032E-7</c:v>
                </c:pt>
                <c:pt idx="20">
                  <c:v>3.1373621911986863E-8</c:v>
                </c:pt>
                <c:pt idx="21">
                  <c:v>6.8255538591543337E-9</c:v>
                </c:pt>
                <c:pt idx="22">
                  <c:v>1.4203846890010553E-9</c:v>
                </c:pt>
                <c:pt idx="23">
                  <c:v>2.8326352854003337E-10</c:v>
                </c:pt>
                <c:pt idx="24">
                  <c:v>5.4230870082868842E-11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F7-AF49-8989-5FAB6B46B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667376"/>
        <c:axId val="591823904"/>
      </c:barChart>
      <c:catAx>
        <c:axId val="1186667376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591823904"/>
        <c:crosses val="autoZero"/>
        <c:auto val="1"/>
        <c:lblAlgn val="ctr"/>
        <c:lblOffset val="100"/>
        <c:noMultiLvlLbl val="0"/>
      </c:catAx>
      <c:valAx>
        <c:axId val="591823904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11866673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/>
              <a:t>Observed vs Expected Poisson &amp; NBD</a:t>
            </a:r>
            <a:r>
              <a:rPr lang="en-US" sz="4000" baseline="0"/>
              <a:t> </a:t>
            </a:r>
            <a:r>
              <a:rPr lang="en-US" sz="4000"/>
              <a:t>- Bills Broncos</a:t>
            </a:r>
          </a:p>
        </c:rich>
      </c:tx>
      <c:layout>
        <c:manualLayout>
          <c:xMode val="edge"/>
          <c:yMode val="edge"/>
          <c:x val="0.20950464731707263"/>
          <c:y val="3.043455685881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Observed_vs_Expected!$P$2:$P$93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70</c:v>
                </c:pt>
                <c:pt idx="68">
                  <c:v>72</c:v>
                </c:pt>
                <c:pt idx="69">
                  <c:v>74</c:v>
                </c:pt>
                <c:pt idx="70">
                  <c:v>75</c:v>
                </c:pt>
                <c:pt idx="71">
                  <c:v>78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95</c:v>
                </c:pt>
                <c:pt idx="84">
                  <c:v>96</c:v>
                </c:pt>
                <c:pt idx="85">
                  <c:v>117</c:v>
                </c:pt>
                <c:pt idx="86">
                  <c:v>120</c:v>
                </c:pt>
                <c:pt idx="87">
                  <c:v>136</c:v>
                </c:pt>
                <c:pt idx="88">
                  <c:v>138</c:v>
                </c:pt>
                <c:pt idx="89">
                  <c:v>147</c:v>
                </c:pt>
                <c:pt idx="90">
                  <c:v>148</c:v>
                </c:pt>
                <c:pt idx="91">
                  <c:v>162</c:v>
                </c:pt>
              </c:numCache>
            </c:numRef>
          </c:cat>
          <c:val>
            <c:numRef>
              <c:f>Observed_vs_Expected!$Q$2:$Q$93</c:f>
              <c:numCache>
                <c:formatCode>General</c:formatCode>
                <c:ptCount val="92"/>
                <c:pt idx="0">
                  <c:v>5369</c:v>
                </c:pt>
                <c:pt idx="1">
                  <c:v>2213</c:v>
                </c:pt>
                <c:pt idx="2">
                  <c:v>1186</c:v>
                </c:pt>
                <c:pt idx="3">
                  <c:v>803</c:v>
                </c:pt>
                <c:pt idx="4">
                  <c:v>545</c:v>
                </c:pt>
                <c:pt idx="5">
                  <c:v>372</c:v>
                </c:pt>
                <c:pt idx="6">
                  <c:v>314</c:v>
                </c:pt>
                <c:pt idx="7">
                  <c:v>258</c:v>
                </c:pt>
                <c:pt idx="8">
                  <c:v>209</c:v>
                </c:pt>
                <c:pt idx="9">
                  <c:v>149</c:v>
                </c:pt>
                <c:pt idx="10">
                  <c:v>136</c:v>
                </c:pt>
                <c:pt idx="11">
                  <c:v>138</c:v>
                </c:pt>
                <c:pt idx="12">
                  <c:v>99</c:v>
                </c:pt>
                <c:pt idx="13">
                  <c:v>89</c:v>
                </c:pt>
                <c:pt idx="14">
                  <c:v>93</c:v>
                </c:pt>
                <c:pt idx="15">
                  <c:v>70</c:v>
                </c:pt>
                <c:pt idx="16">
                  <c:v>54</c:v>
                </c:pt>
                <c:pt idx="17">
                  <c:v>62</c:v>
                </c:pt>
                <c:pt idx="18">
                  <c:v>54</c:v>
                </c:pt>
                <c:pt idx="19">
                  <c:v>43</c:v>
                </c:pt>
                <c:pt idx="20">
                  <c:v>46</c:v>
                </c:pt>
                <c:pt idx="21">
                  <c:v>44</c:v>
                </c:pt>
                <c:pt idx="22">
                  <c:v>21</c:v>
                </c:pt>
                <c:pt idx="23">
                  <c:v>24</c:v>
                </c:pt>
                <c:pt idx="24">
                  <c:v>22</c:v>
                </c:pt>
                <c:pt idx="25">
                  <c:v>35</c:v>
                </c:pt>
                <c:pt idx="26">
                  <c:v>21</c:v>
                </c:pt>
                <c:pt idx="27">
                  <c:v>21</c:v>
                </c:pt>
                <c:pt idx="28">
                  <c:v>19</c:v>
                </c:pt>
                <c:pt idx="29">
                  <c:v>14</c:v>
                </c:pt>
                <c:pt idx="30">
                  <c:v>22</c:v>
                </c:pt>
                <c:pt idx="31">
                  <c:v>11</c:v>
                </c:pt>
                <c:pt idx="32">
                  <c:v>8</c:v>
                </c:pt>
                <c:pt idx="33">
                  <c:v>17</c:v>
                </c:pt>
                <c:pt idx="34">
                  <c:v>9</c:v>
                </c:pt>
                <c:pt idx="35">
                  <c:v>12</c:v>
                </c:pt>
                <c:pt idx="36">
                  <c:v>10</c:v>
                </c:pt>
                <c:pt idx="37">
                  <c:v>11</c:v>
                </c:pt>
                <c:pt idx="38">
                  <c:v>4</c:v>
                </c:pt>
                <c:pt idx="39">
                  <c:v>8</c:v>
                </c:pt>
                <c:pt idx="40">
                  <c:v>5</c:v>
                </c:pt>
                <c:pt idx="41">
                  <c:v>9</c:v>
                </c:pt>
                <c:pt idx="42">
                  <c:v>13</c:v>
                </c:pt>
                <c:pt idx="43">
                  <c:v>10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10</c:v>
                </c:pt>
                <c:pt idx="48">
                  <c:v>9</c:v>
                </c:pt>
                <c:pt idx="49">
                  <c:v>10</c:v>
                </c:pt>
                <c:pt idx="50">
                  <c:v>5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1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2</c:v>
                </c:pt>
                <c:pt idx="63">
                  <c:v>7</c:v>
                </c:pt>
                <c:pt idx="64">
                  <c:v>2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2-5147-8A6B-EE6DD778614A}"/>
            </c:ext>
          </c:extLst>
        </c:ser>
        <c:ser>
          <c:idx val="2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Observed_vs_Expected!$P$2:$P$93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70</c:v>
                </c:pt>
                <c:pt idx="68">
                  <c:v>72</c:v>
                </c:pt>
                <c:pt idx="69">
                  <c:v>74</c:v>
                </c:pt>
                <c:pt idx="70">
                  <c:v>75</c:v>
                </c:pt>
                <c:pt idx="71">
                  <c:v>78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95</c:v>
                </c:pt>
                <c:pt idx="84">
                  <c:v>96</c:v>
                </c:pt>
                <c:pt idx="85">
                  <c:v>117</c:v>
                </c:pt>
                <c:pt idx="86">
                  <c:v>120</c:v>
                </c:pt>
                <c:pt idx="87">
                  <c:v>136</c:v>
                </c:pt>
                <c:pt idx="88">
                  <c:v>138</c:v>
                </c:pt>
                <c:pt idx="89">
                  <c:v>147</c:v>
                </c:pt>
                <c:pt idx="90">
                  <c:v>148</c:v>
                </c:pt>
                <c:pt idx="91">
                  <c:v>162</c:v>
                </c:pt>
              </c:numCache>
            </c:numRef>
          </c:cat>
          <c:val>
            <c:numRef>
              <c:f>Observed_vs_Expected!$R$2:$R$93</c:f>
              <c:numCache>
                <c:formatCode>0.000</c:formatCode>
                <c:ptCount val="92"/>
                <c:pt idx="0">
                  <c:v>510.80585457596294</c:v>
                </c:pt>
                <c:pt idx="1">
                  <c:v>1222.423783245838</c:v>
                </c:pt>
                <c:pt idx="2">
                  <c:v>1950.277706566947</c:v>
                </c:pt>
                <c:pt idx="3">
                  <c:v>2333.6320747739637</c:v>
                </c:pt>
                <c:pt idx="4">
                  <c:v>2233.8720858374927</c:v>
                </c:pt>
                <c:pt idx="5">
                  <c:v>1781.9805979081273</c:v>
                </c:pt>
                <c:pt idx="6">
                  <c:v>1218.4307513601468</c:v>
                </c:pt>
                <c:pt idx="7">
                  <c:v>728.96518087932475</c:v>
                </c:pt>
                <c:pt idx="8">
                  <c:v>387.66821583416419</c:v>
                </c:pt>
                <c:pt idx="9">
                  <c:v>185.54793090128501</c:v>
                </c:pt>
                <c:pt idx="10">
                  <c:v>80.734535488074499</c:v>
                </c:pt>
                <c:pt idx="11">
                  <c:v>32.201345979695418</c:v>
                </c:pt>
                <c:pt idx="12">
                  <c:v>11.85568339651638</c:v>
                </c:pt>
                <c:pt idx="13">
                  <c:v>4.0531668093532813</c:v>
                </c:pt>
                <c:pt idx="14">
                  <c:v>1.2932995868731516</c:v>
                </c:pt>
                <c:pt idx="15">
                  <c:v>0.38687892858240763</c:v>
                </c:pt>
                <c:pt idx="16">
                  <c:v>0.10892362224700076</c:v>
                </c:pt>
                <c:pt idx="17">
                  <c:v>2.89631297943156E-2</c:v>
                </c:pt>
                <c:pt idx="18">
                  <c:v>7.2960501386163615E-3</c:v>
                </c:pt>
                <c:pt idx="19">
                  <c:v>1.7460381734666264E-3</c:v>
                </c:pt>
                <c:pt idx="20">
                  <c:v>3.9795169601319506E-4</c:v>
                </c:pt>
                <c:pt idx="21">
                  <c:v>8.6577212605538746E-5</c:v>
                </c:pt>
                <c:pt idx="22">
                  <c:v>1.8016552171274258E-5</c:v>
                </c:pt>
                <c:pt idx="23">
                  <c:v>3.5929929262684092E-6</c:v>
                </c:pt>
                <c:pt idx="24">
                  <c:v>6.8787935247933168E-7</c:v>
                </c:pt>
                <c:pt idx="25">
                  <c:v>1.2662948659254757E-7</c:v>
                </c:pt>
                <c:pt idx="26">
                  <c:v>2.2447449447042781E-8</c:v>
                </c:pt>
                <c:pt idx="27">
                  <c:v>3.8371156689340901E-9</c:v>
                </c:pt>
                <c:pt idx="28">
                  <c:v>6.3329026704610169E-10</c:v>
                </c:pt>
                <c:pt idx="29">
                  <c:v>1.010363105277914E-10</c:v>
                </c:pt>
                <c:pt idx="30">
                  <c:v>1.559953688914816E-11</c:v>
                </c:pt>
                <c:pt idx="31">
                  <c:v>2.3332305133749794E-12</c:v>
                </c:pt>
                <c:pt idx="32">
                  <c:v>3.3840722586508414E-13</c:v>
                </c:pt>
                <c:pt idx="33">
                  <c:v>4.7638341238753166E-14</c:v>
                </c:pt>
                <c:pt idx="34">
                  <c:v>6.5145512781927188E-15</c:v>
                </c:pt>
                <c:pt idx="35">
                  <c:v>8.6611971916503029E-16</c:v>
                </c:pt>
                <c:pt idx="36">
                  <c:v>1.1203974781043749E-16</c:v>
                </c:pt>
                <c:pt idx="37">
                  <c:v>1.4111866075042065E-17</c:v>
                </c:pt>
                <c:pt idx="38">
                  <c:v>1.7318718750165885E-18</c:v>
                </c:pt>
                <c:pt idx="39">
                  <c:v>2.0722955214680356E-19</c:v>
                </c:pt>
                <c:pt idx="40">
                  <c:v>2.4191553153759906E-20</c:v>
                </c:pt>
                <c:pt idx="41">
                  <c:v>2.7568325117480951E-21</c:v>
                </c:pt>
                <c:pt idx="42">
                  <c:v>3.0685828008016201E-22</c:v>
                </c:pt>
                <c:pt idx="43">
                  <c:v>3.3379597097368887E-23</c:v>
                </c:pt>
                <c:pt idx="44">
                  <c:v>3.550295457566554E-24</c:v>
                </c:pt>
                <c:pt idx="45">
                  <c:v>3.6940484343217208E-25</c:v>
                </c:pt>
                <c:pt idx="46">
                  <c:v>3.7618428382591168E-26</c:v>
                </c:pt>
                <c:pt idx="47">
                  <c:v>3.7510713978751559E-27</c:v>
                </c:pt>
                <c:pt idx="48">
                  <c:v>3.663997518173891E-28</c:v>
                </c:pt>
                <c:pt idx="49">
                  <c:v>3.5073659926530182E-29</c:v>
                </c:pt>
                <c:pt idx="50">
                  <c:v>3.2915983118677264E-30</c:v>
                </c:pt>
                <c:pt idx="51">
                  <c:v>2.9725343475712444E-31</c:v>
                </c:pt>
                <c:pt idx="52">
                  <c:v>2.6346870816670741E-32</c:v>
                </c:pt>
                <c:pt idx="53">
                  <c:v>2.2927794091973755E-33</c:v>
                </c:pt>
                <c:pt idx="54">
                  <c:v>1.9596123419713713E-34</c:v>
                </c:pt>
                <c:pt idx="55">
                  <c:v>1.6454747813063366E-35</c:v>
                </c:pt>
                <c:pt idx="56">
                  <c:v>1.3578730139774363E-36</c:v>
                </c:pt>
                <c:pt idx="57">
                  <c:v>1.1015470860564383E-37</c:v>
                </c:pt>
                <c:pt idx="58">
                  <c:v>8.7871438453419356E-39</c:v>
                </c:pt>
                <c:pt idx="59">
                  <c:v>6.8946753462113942E-40</c:v>
                </c:pt>
                <c:pt idx="60">
                  <c:v>5.3225291897580172E-41</c:v>
                </c:pt>
                <c:pt idx="61">
                  <c:v>4.0436487402002107E-42</c:v>
                </c:pt>
                <c:pt idx="62">
                  <c:v>3.0240527949803218E-43</c:v>
                </c:pt>
                <c:pt idx="63">
                  <c:v>2.2267524180041291E-44</c:v>
                </c:pt>
                <c:pt idx="64">
                  <c:v>1.6148192477029398E-45</c:v>
                </c:pt>
                <c:pt idx="65">
                  <c:v>1.1535728732261802E-46</c:v>
                </c:pt>
                <c:pt idx="66">
                  <c:v>8.1195515311524154E-48</c:v>
                </c:pt>
                <c:pt idx="67">
                  <c:v>5.5517502740619199E-49</c:v>
                </c:pt>
                <c:pt idx="68">
                  <c:v>3.6905691450623358E-50</c:v>
                </c:pt>
                <c:pt idx="69">
                  <c:v>2.3870281852512566E-51</c:v>
                </c:pt>
                <c:pt idx="70">
                  <c:v>1.5233237175020683E-52</c:v>
                </c:pt>
                <c:pt idx="71">
                  <c:v>9.347457979187502E-54</c:v>
                </c:pt>
                <c:pt idx="72">
                  <c:v>5.5924158093956505E-55</c:v>
                </c:pt>
                <c:pt idx="73">
                  <c:v>3.3045350006612589E-56</c:v>
                </c:pt>
                <c:pt idx="74">
                  <c:v>1.9288232129248934E-57</c:v>
                </c:pt>
                <c:pt idx="75">
                  <c:v>1.1122700724104288E-58</c:v>
                </c:pt>
                <c:pt idx="76">
                  <c:v>6.337630076861973E-60</c:v>
                </c:pt>
                <c:pt idx="77">
                  <c:v>3.5271534576052463E-61</c:v>
                </c:pt>
                <c:pt idx="78">
                  <c:v>1.9404435934035047E-62</c:v>
                </c:pt>
                <c:pt idx="79">
                  <c:v>1.0553931495845441E-63</c:v>
                </c:pt>
                <c:pt idx="80">
                  <c:v>5.6126463929251805E-65</c:v>
                </c:pt>
                <c:pt idx="81">
                  <c:v>2.9199524191710241E-66</c:v>
                </c:pt>
                <c:pt idx="82">
                  <c:v>1.502756954058501E-67</c:v>
                </c:pt>
                <c:pt idx="83">
                  <c:v>7.5711362417172841E-69</c:v>
                </c:pt>
                <c:pt idx="84">
                  <c:v>3.7747287468905047E-70</c:v>
                </c:pt>
                <c:pt idx="85">
                  <c:v>1.5441724757951711E-71</c:v>
                </c:pt>
                <c:pt idx="86">
                  <c:v>6.1590039311922552E-73</c:v>
                </c:pt>
                <c:pt idx="87">
                  <c:v>2.1675418588869994E-74</c:v>
                </c:pt>
                <c:pt idx="88">
                  <c:v>7.5176885096360212E-76</c:v>
                </c:pt>
                <c:pt idx="89">
                  <c:v>2.4477266288340863E-77</c:v>
                </c:pt>
                <c:pt idx="90">
                  <c:v>7.9158420058789008E-79</c:v>
                </c:pt>
                <c:pt idx="91">
                  <c:v>2.338718888193532E-80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2-5147-8A6B-EE6DD778614A}"/>
            </c:ext>
          </c:extLst>
        </c:ser>
        <c:ser>
          <c:idx val="3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Observed_vs_Expected!$P$2:$P$93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70</c:v>
                </c:pt>
                <c:pt idx="68">
                  <c:v>72</c:v>
                </c:pt>
                <c:pt idx="69">
                  <c:v>74</c:v>
                </c:pt>
                <c:pt idx="70">
                  <c:v>75</c:v>
                </c:pt>
                <c:pt idx="71">
                  <c:v>78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95</c:v>
                </c:pt>
                <c:pt idx="84">
                  <c:v>96</c:v>
                </c:pt>
                <c:pt idx="85">
                  <c:v>117</c:v>
                </c:pt>
                <c:pt idx="86">
                  <c:v>120</c:v>
                </c:pt>
                <c:pt idx="87">
                  <c:v>136</c:v>
                </c:pt>
                <c:pt idx="88">
                  <c:v>138</c:v>
                </c:pt>
                <c:pt idx="89">
                  <c:v>147</c:v>
                </c:pt>
                <c:pt idx="90">
                  <c:v>148</c:v>
                </c:pt>
                <c:pt idx="91">
                  <c:v>162</c:v>
                </c:pt>
              </c:numCache>
            </c:numRef>
          </c:cat>
          <c:val>
            <c:numRef>
              <c:f>Observed_vs_Expected!$S$2:$S$93</c:f>
              <c:numCache>
                <c:formatCode>0.000</c:formatCode>
                <c:ptCount val="92"/>
                <c:pt idx="0">
                  <c:v>1846.3971063842459</c:v>
                </c:pt>
                <c:pt idx="1">
                  <c:v>1508.3439919685466</c:v>
                </c:pt>
                <c:pt idx="2">
                  <c:v>1238.95848206185</c:v>
                </c:pt>
                <c:pt idx="3">
                  <c:v>1020.4665311467282</c:v>
                </c:pt>
                <c:pt idx="4">
                  <c:v>841.8808310193848</c:v>
                </c:pt>
                <c:pt idx="5">
                  <c:v>695.30453479472897</c:v>
                </c:pt>
                <c:pt idx="6">
                  <c:v>574.69411376153994</c:v>
                </c:pt>
                <c:pt idx="7">
                  <c:v>475.2818162265732</c:v>
                </c:pt>
                <c:pt idx="8">
                  <c:v>393.24403236261213</c:v>
                </c:pt>
                <c:pt idx="9">
                  <c:v>325.4844252259914</c:v>
                </c:pt>
                <c:pt idx="10">
                  <c:v>269.48016296453011</c:v>
                </c:pt>
                <c:pt idx="11">
                  <c:v>223.16724911490616</c:v>
                </c:pt>
                <c:pt idx="12">
                  <c:v>184.85223057434732</c:v>
                </c:pt>
                <c:pt idx="13">
                  <c:v>153.14278928730079</c:v>
                </c:pt>
                <c:pt idx="14">
                  <c:v>126.89241753126026</c:v>
                </c:pt>
                <c:pt idx="15">
                  <c:v>105.15589769811272</c:v>
                </c:pt>
                <c:pt idx="16">
                  <c:v>87.153235451007674</c:v>
                </c:pt>
                <c:pt idx="17">
                  <c:v>72.240299087264106</c:v>
                </c:pt>
                <c:pt idx="18">
                  <c:v>59.884832207198514</c:v>
                </c:pt>
                <c:pt idx="19">
                  <c:v>49.6468030642801</c:v>
                </c:pt>
                <c:pt idx="20">
                  <c:v>41.162272873311863</c:v>
                </c:pt>
                <c:pt idx="21">
                  <c:v>34.130131194158508</c:v>
                </c:pt>
                <c:pt idx="22">
                  <c:v>28.301174584998499</c:v>
                </c:pt>
                <c:pt idx="23">
                  <c:v>23.469105092209503</c:v>
                </c:pt>
                <c:pt idx="24">
                  <c:v>19.463104695238599</c:v>
                </c:pt>
                <c:pt idx="25">
                  <c:v>16.141705421832608</c:v>
                </c:pt>
                <c:pt idx="26">
                  <c:v>13.387726034188875</c:v>
                </c:pt>
                <c:pt idx="27">
                  <c:v>11.104087599381247</c:v>
                </c:pt>
                <c:pt idx="28">
                  <c:v>9.2103539029135302</c:v>
                </c:pt>
                <c:pt idx="29">
                  <c:v>7.6398700898015779</c:v>
                </c:pt>
                <c:pt idx="30">
                  <c:v>6.33739533257397</c:v>
                </c:pt>
                <c:pt idx="31">
                  <c:v>5.2571436850021582</c:v>
                </c:pt>
                <c:pt idx="32">
                  <c:v>4.3611623445985579</c:v>
                </c:pt>
                <c:pt idx="33">
                  <c:v>3.6179889254359643</c:v>
                </c:pt>
                <c:pt idx="34">
                  <c:v>3.0015395268304226</c:v>
                </c:pt>
                <c:pt idx="35">
                  <c:v>2.4901877704958477</c:v>
                </c:pt>
                <c:pt idx="36">
                  <c:v>2.0660018919376055</c:v>
                </c:pt>
                <c:pt idx="37">
                  <c:v>1.7141126743042612</c:v>
                </c:pt>
                <c:pt idx="38">
                  <c:v>1.4221897196521693</c:v>
                </c:pt>
                <c:pt idx="39">
                  <c:v>1.1800074395671936</c:v>
                </c:pt>
                <c:pt idx="40">
                  <c:v>0.97908535861206669</c:v>
                </c:pt>
                <c:pt idx="41">
                  <c:v>0.8123899785950075</c:v>
                </c:pt>
                <c:pt idx="42">
                  <c:v>0.67408764657841946</c:v>
                </c:pt>
                <c:pt idx="43">
                  <c:v>0.55933968501680487</c:v>
                </c:pt>
                <c:pt idx="44">
                  <c:v>0.46413254445079549</c:v>
                </c:pt>
                <c:pt idx="45">
                  <c:v>0.38513698221229392</c:v>
                </c:pt>
                <c:pt idx="46">
                  <c:v>0.31959129950677884</c:v>
                </c:pt>
                <c:pt idx="47">
                  <c:v>0.26520452108568959</c:v>
                </c:pt>
                <c:pt idx="48">
                  <c:v>0.2200761071021092</c:v>
                </c:pt>
                <c:pt idx="49">
                  <c:v>0.18262937093508178</c:v>
                </c:pt>
                <c:pt idx="50">
                  <c:v>0.15155626066386474</c:v>
                </c:pt>
                <c:pt idx="51">
                  <c:v>0.1257730445811929</c:v>
                </c:pt>
                <c:pt idx="52">
                  <c:v>0.10437733252371273</c:v>
                </c:pt>
                <c:pt idx="53">
                  <c:v>8.6622270212849864E-2</c:v>
                </c:pt>
                <c:pt idx="54">
                  <c:v>7.1888183170722986E-2</c:v>
                </c:pt>
                <c:pt idx="55">
                  <c:v>5.9660909785100677E-2</c:v>
                </c:pt>
                <c:pt idx="56">
                  <c:v>4.9513827692483768E-2</c:v>
                </c:pt>
                <c:pt idx="57">
                  <c:v>4.1092943491792287E-2</c:v>
                </c:pt>
                <c:pt idx="58">
                  <c:v>3.4104523352958105E-2</c:v>
                </c:pt>
                <c:pt idx="59">
                  <c:v>2.8304831255300106E-2</c:v>
                </c:pt>
                <c:pt idx="60">
                  <c:v>2.34916155257647E-2</c:v>
                </c:pt>
                <c:pt idx="61">
                  <c:v>1.9497045653429357E-2</c:v>
                </c:pt>
                <c:pt idx="62">
                  <c:v>1.6181852193882604E-2</c:v>
                </c:pt>
                <c:pt idx="63">
                  <c:v>1.3430464735046457E-2</c:v>
                </c:pt>
                <c:pt idx="64">
                  <c:v>1.1146977858077911E-2</c:v>
                </c:pt>
                <c:pt idx="65">
                  <c:v>9.251804022678032E-3</c:v>
                </c:pt>
                <c:pt idx="66">
                  <c:v>7.6788963546041986E-3</c:v>
                </c:pt>
                <c:pt idx="67">
                  <c:v>6.3734871000093399E-3</c:v>
                </c:pt>
                <c:pt idx="68">
                  <c:v>5.2900650398290229E-3</c:v>
                </c:pt>
                <c:pt idx="69">
                  <c:v>4.390866213342233E-3</c:v>
                </c:pt>
                <c:pt idx="70">
                  <c:v>3.6445334293752521E-3</c:v>
                </c:pt>
                <c:pt idx="71">
                  <c:v>3.02510812448597E-3</c:v>
                </c:pt>
                <c:pt idx="72">
                  <c:v>2.5109865400681289E-3</c:v>
                </c:pt>
                <c:pt idx="73">
                  <c:v>2.0842511184595153E-3</c:v>
                </c:pt>
                <c:pt idx="74">
                  <c:v>1.7300466919923168E-3</c:v>
                </c:pt>
                <c:pt idx="75">
                  <c:v>1.4360437696037591E-3</c:v>
                </c:pt>
                <c:pt idx="76">
                  <c:v>1.1920090480911805E-3</c:v>
                </c:pt>
                <c:pt idx="77">
                  <c:v>9.894533657071223E-4</c:v>
                </c:pt>
                <c:pt idx="78">
                  <c:v>8.2132112357754367E-4</c:v>
                </c:pt>
                <c:pt idx="79">
                  <c:v>6.8176153795057159E-4</c:v>
                </c:pt>
                <c:pt idx="80">
                  <c:v>5.6592067530429428E-4</c:v>
                </c:pt>
                <c:pt idx="81">
                  <c:v>4.6976648604563727E-4</c:v>
                </c:pt>
                <c:pt idx="82">
                  <c:v>3.8995109796180721E-4</c:v>
                </c:pt>
                <c:pt idx="83">
                  <c:v>3.23699073369302E-4</c:v>
                </c:pt>
                <c:pt idx="84">
                  <c:v>2.6870411086820593E-4</c:v>
                </c:pt>
                <c:pt idx="85">
                  <c:v>2.2306607354465898E-4</c:v>
                </c:pt>
                <c:pt idx="86">
                  <c:v>1.8518071094456343E-4</c:v>
                </c:pt>
                <c:pt idx="87">
                  <c:v>1.5373466003263796E-4</c:v>
                </c:pt>
                <c:pt idx="88">
                  <c:v>1.2762899183306513E-4</c:v>
                </c:pt>
                <c:pt idx="89">
                  <c:v>1.0595785051235719E-4</c:v>
                </c:pt>
                <c:pt idx="90">
                  <c:v>8.7966555824916533E-5</c:v>
                </c:pt>
                <c:pt idx="91">
                  <c:v>7.3031507951353314E-5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42-5147-8A6B-EE6DD778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"/>
        <c:axId val="705602959"/>
        <c:axId val="705611503"/>
      </c:barChart>
      <c:catAx>
        <c:axId val="705602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11503"/>
        <c:crosses val="autoZero"/>
        <c:auto val="1"/>
        <c:lblAlgn val="ctr"/>
        <c:lblOffset val="100"/>
        <c:noMultiLvlLbl val="0"/>
      </c:catAx>
      <c:valAx>
        <c:axId val="705611503"/>
        <c:scaling>
          <c:orientation val="minMax"/>
          <c:max val="5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0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673884784099387"/>
          <c:y val="2.048518412222208E-2"/>
          <c:w val="0.22376175102339529"/>
          <c:h val="9.256487313514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Observed vs Expected Poisson &amp; NBD - Bills Broncos 1-25</a:t>
            </a:r>
          </a:p>
        </c:rich>
      </c:tx>
      <c:layout>
        <c:manualLayout>
          <c:xMode val="edge"/>
          <c:yMode val="edge"/>
          <c:x val="0.29166270822760304"/>
          <c:y val="5.2413581320083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578430172668459E-2"/>
          <c:y val="0.11906833844853479"/>
          <c:w val="0.96612833974906442"/>
          <c:h val="0.8523680155614888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Observed_vs_Expected!$P$1:$P$26</c:f>
              <c:strCache>
                <c:ptCount val="26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Observed_vs_Expected!$Q$2:$Q$26</c:f>
              <c:numCache>
                <c:formatCode>General</c:formatCode>
                <c:ptCount val="25"/>
                <c:pt idx="0">
                  <c:v>5369</c:v>
                </c:pt>
                <c:pt idx="1">
                  <c:v>2213</c:v>
                </c:pt>
                <c:pt idx="2">
                  <c:v>1186</c:v>
                </c:pt>
                <c:pt idx="3">
                  <c:v>803</c:v>
                </c:pt>
                <c:pt idx="4">
                  <c:v>545</c:v>
                </c:pt>
                <c:pt idx="5">
                  <c:v>372</c:v>
                </c:pt>
                <c:pt idx="6">
                  <c:v>314</c:v>
                </c:pt>
                <c:pt idx="7">
                  <c:v>258</c:v>
                </c:pt>
                <c:pt idx="8">
                  <c:v>209</c:v>
                </c:pt>
                <c:pt idx="9">
                  <c:v>149</c:v>
                </c:pt>
                <c:pt idx="10">
                  <c:v>136</c:v>
                </c:pt>
                <c:pt idx="11">
                  <c:v>138</c:v>
                </c:pt>
                <c:pt idx="12">
                  <c:v>99</c:v>
                </c:pt>
                <c:pt idx="13">
                  <c:v>89</c:v>
                </c:pt>
                <c:pt idx="14">
                  <c:v>93</c:v>
                </c:pt>
                <c:pt idx="15">
                  <c:v>70</c:v>
                </c:pt>
                <c:pt idx="16">
                  <c:v>54</c:v>
                </c:pt>
                <c:pt idx="17">
                  <c:v>62</c:v>
                </c:pt>
                <c:pt idx="18">
                  <c:v>54</c:v>
                </c:pt>
                <c:pt idx="19">
                  <c:v>43</c:v>
                </c:pt>
                <c:pt idx="20">
                  <c:v>46</c:v>
                </c:pt>
                <c:pt idx="21">
                  <c:v>44</c:v>
                </c:pt>
                <c:pt idx="22">
                  <c:v>21</c:v>
                </c:pt>
                <c:pt idx="23">
                  <c:v>24</c:v>
                </c:pt>
                <c:pt idx="2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7-3A4D-9391-A10B603C4612}"/>
            </c:ext>
          </c:extLst>
        </c:ser>
        <c:ser>
          <c:idx val="3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Observed_vs_Expected!$P$1:$P$26</c:f>
              <c:strCache>
                <c:ptCount val="26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Observed_vs_Expected!$R$2:$R$26</c:f>
              <c:numCache>
                <c:formatCode>0.000</c:formatCode>
                <c:ptCount val="25"/>
                <c:pt idx="0">
                  <c:v>510.80585457596294</c:v>
                </c:pt>
                <c:pt idx="1">
                  <c:v>1222.423783245838</c:v>
                </c:pt>
                <c:pt idx="2">
                  <c:v>1950.277706566947</c:v>
                </c:pt>
                <c:pt idx="3">
                  <c:v>2333.6320747739637</c:v>
                </c:pt>
                <c:pt idx="4">
                  <c:v>2233.8720858374927</c:v>
                </c:pt>
                <c:pt idx="5">
                  <c:v>1781.9805979081273</c:v>
                </c:pt>
                <c:pt idx="6">
                  <c:v>1218.4307513601468</c:v>
                </c:pt>
                <c:pt idx="7">
                  <c:v>728.96518087932475</c:v>
                </c:pt>
                <c:pt idx="8">
                  <c:v>387.66821583416419</c:v>
                </c:pt>
                <c:pt idx="9">
                  <c:v>185.54793090128501</c:v>
                </c:pt>
                <c:pt idx="10">
                  <c:v>80.734535488074499</c:v>
                </c:pt>
                <c:pt idx="11">
                  <c:v>32.201345979695418</c:v>
                </c:pt>
                <c:pt idx="12">
                  <c:v>11.85568339651638</c:v>
                </c:pt>
                <c:pt idx="13">
                  <c:v>4.0531668093532813</c:v>
                </c:pt>
                <c:pt idx="14">
                  <c:v>1.2932995868731516</c:v>
                </c:pt>
                <c:pt idx="15">
                  <c:v>0.38687892858240763</c:v>
                </c:pt>
                <c:pt idx="16">
                  <c:v>0.10892362224700076</c:v>
                </c:pt>
                <c:pt idx="17">
                  <c:v>2.89631297943156E-2</c:v>
                </c:pt>
                <c:pt idx="18">
                  <c:v>7.2960501386163615E-3</c:v>
                </c:pt>
                <c:pt idx="19">
                  <c:v>1.7460381734666264E-3</c:v>
                </c:pt>
                <c:pt idx="20">
                  <c:v>3.9795169601319506E-4</c:v>
                </c:pt>
                <c:pt idx="21">
                  <c:v>8.6577212605538746E-5</c:v>
                </c:pt>
                <c:pt idx="22">
                  <c:v>1.8016552171274258E-5</c:v>
                </c:pt>
                <c:pt idx="23">
                  <c:v>3.5929929262684092E-6</c:v>
                </c:pt>
                <c:pt idx="24">
                  <c:v>6.8787935247933168E-7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87-3A4D-9391-A10B603C4612}"/>
            </c:ext>
          </c:extLst>
        </c:ser>
        <c:ser>
          <c:idx val="0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Observed_vs_Expected!$P$1:$P$26</c:f>
              <c:strCache>
                <c:ptCount val="26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Observed_vs_Expected!$S$2:$S$26</c:f>
              <c:numCache>
                <c:formatCode>0.000</c:formatCode>
                <c:ptCount val="25"/>
                <c:pt idx="0">
                  <c:v>1846.3971063842459</c:v>
                </c:pt>
                <c:pt idx="1">
                  <c:v>1508.3439919685466</c:v>
                </c:pt>
                <c:pt idx="2">
                  <c:v>1238.95848206185</c:v>
                </c:pt>
                <c:pt idx="3">
                  <c:v>1020.4665311467282</c:v>
                </c:pt>
                <c:pt idx="4">
                  <c:v>841.8808310193848</c:v>
                </c:pt>
                <c:pt idx="5">
                  <c:v>695.30453479472897</c:v>
                </c:pt>
                <c:pt idx="6">
                  <c:v>574.69411376153994</c:v>
                </c:pt>
                <c:pt idx="7">
                  <c:v>475.2818162265732</c:v>
                </c:pt>
                <c:pt idx="8">
                  <c:v>393.24403236261213</c:v>
                </c:pt>
                <c:pt idx="9">
                  <c:v>325.4844252259914</c:v>
                </c:pt>
                <c:pt idx="10">
                  <c:v>269.48016296453011</c:v>
                </c:pt>
                <c:pt idx="11">
                  <c:v>223.16724911490616</c:v>
                </c:pt>
                <c:pt idx="12">
                  <c:v>184.85223057434732</c:v>
                </c:pt>
                <c:pt idx="13">
                  <c:v>153.14278928730079</c:v>
                </c:pt>
                <c:pt idx="14">
                  <c:v>126.89241753126026</c:v>
                </c:pt>
                <c:pt idx="15">
                  <c:v>105.15589769811272</c:v>
                </c:pt>
                <c:pt idx="16">
                  <c:v>87.153235451007674</c:v>
                </c:pt>
                <c:pt idx="17">
                  <c:v>72.240299087264106</c:v>
                </c:pt>
                <c:pt idx="18">
                  <c:v>59.884832207198514</c:v>
                </c:pt>
                <c:pt idx="19">
                  <c:v>49.6468030642801</c:v>
                </c:pt>
                <c:pt idx="20">
                  <c:v>41.162272873311863</c:v>
                </c:pt>
                <c:pt idx="21">
                  <c:v>34.130131194158508</c:v>
                </c:pt>
                <c:pt idx="22">
                  <c:v>28.301174584998499</c:v>
                </c:pt>
                <c:pt idx="23">
                  <c:v>23.469105092209503</c:v>
                </c:pt>
                <c:pt idx="24">
                  <c:v>19.463104695238599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7-3A4D-9391-A10B603C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16111"/>
        <c:axId val="661449087"/>
      </c:barChart>
      <c:catAx>
        <c:axId val="6614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49087"/>
        <c:crosses val="autoZero"/>
        <c:auto val="1"/>
        <c:lblAlgn val="ctr"/>
        <c:lblOffset val="100"/>
        <c:noMultiLvlLbl val="0"/>
      </c:catAx>
      <c:valAx>
        <c:axId val="661449087"/>
        <c:scaling>
          <c:orientation val="minMax"/>
          <c:max val="5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1611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7322805767838"/>
          <c:y val="5.231228385669718E-2"/>
          <c:w val="0.18674785488781273"/>
          <c:h val="4.4070911290119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10</xdr:col>
      <xdr:colOff>600480</xdr:colOff>
      <xdr:row>57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507069</xdr:colOff>
      <xdr:row>0</xdr:row>
      <xdr:rowOff>204573</xdr:rowOff>
    </xdr:from>
    <xdr:to>
      <xdr:col>56</xdr:col>
      <xdr:colOff>181233</xdr:colOff>
      <xdr:row>86</xdr:row>
      <xdr:rowOff>52303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AE73C2-7FD4-6790-E5CC-089794AD2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488577</xdr:colOff>
      <xdr:row>95</xdr:row>
      <xdr:rowOff>91142</xdr:rowOff>
    </xdr:from>
    <xdr:to>
      <xdr:col>56</xdr:col>
      <xdr:colOff>152400</xdr:colOff>
      <xdr:row>172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5F871D-73F1-EB28-8A81-D98512692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3"/>
  <sheetViews>
    <sheetView showGridLines="0" topLeftCell="A235" zoomScaleNormal="100" workbookViewId="0">
      <selection activeCell="L220" sqref="L220:L222"/>
    </sheetView>
  </sheetViews>
  <sheetFormatPr baseColWidth="10" defaultColWidth="8.6640625" defaultRowHeight="15" x14ac:dyDescent="0.2"/>
  <cols>
    <col min="1" max="1" width="10.83203125" style="14" customWidth="1"/>
    <col min="2" max="2" width="22" style="14" customWidth="1"/>
    <col min="3" max="3" width="17.83203125" style="14" customWidth="1"/>
    <col min="4" max="11" width="14" style="14" customWidth="1"/>
    <col min="12" max="16384" width="8.6640625" style="14"/>
  </cols>
  <sheetData>
    <row r="1" spans="1:11" ht="31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.75" customHeight="1" x14ac:dyDescent="0.2">
      <c r="A2" s="15" t="s">
        <v>71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7.5" customHeight="1" x14ac:dyDescent="0.2"/>
    <row r="4" spans="1:11" ht="21.75" customHeight="1" x14ac:dyDescent="0.2">
      <c r="A4" s="17" t="s">
        <v>1</v>
      </c>
      <c r="B4" s="18"/>
      <c r="C4" s="18"/>
      <c r="D4" s="19"/>
      <c r="E4" s="20"/>
      <c r="F4" s="21"/>
      <c r="G4" s="21"/>
      <c r="H4" s="21"/>
      <c r="I4" s="21"/>
      <c r="J4" s="21"/>
      <c r="K4" s="21"/>
    </row>
    <row r="5" spans="1:11" ht="27.75" customHeight="1" x14ac:dyDescent="0.2">
      <c r="A5" s="22" t="s">
        <v>2</v>
      </c>
      <c r="B5" s="22" t="s">
        <v>3</v>
      </c>
      <c r="C5" s="22" t="s">
        <v>70</v>
      </c>
    </row>
    <row r="6" spans="1:11" ht="15" customHeight="1" x14ac:dyDescent="0.2">
      <c r="A6" s="57">
        <v>1</v>
      </c>
      <c r="B6" s="57">
        <v>1</v>
      </c>
      <c r="C6" s="58">
        <v>5369</v>
      </c>
      <c r="D6" s="39"/>
      <c r="E6" s="39"/>
      <c r="F6" s="39"/>
    </row>
    <row r="7" spans="1:11" ht="15" customHeight="1" x14ac:dyDescent="0.2">
      <c r="A7" s="57">
        <v>2</v>
      </c>
      <c r="B7" s="57">
        <v>2</v>
      </c>
      <c r="C7" s="58">
        <v>2213</v>
      </c>
      <c r="D7" s="39"/>
      <c r="E7" s="39"/>
      <c r="F7" s="39"/>
    </row>
    <row r="8" spans="1:11" ht="15" customHeight="1" x14ac:dyDescent="0.2">
      <c r="A8" s="57">
        <v>3</v>
      </c>
      <c r="B8" s="57">
        <v>3</v>
      </c>
      <c r="C8" s="58">
        <v>1186</v>
      </c>
      <c r="D8" s="39"/>
      <c r="E8" s="39"/>
      <c r="F8" s="39"/>
    </row>
    <row r="9" spans="1:11" ht="15" customHeight="1" x14ac:dyDescent="0.2">
      <c r="A9" s="57">
        <v>4</v>
      </c>
      <c r="B9" s="57">
        <v>4</v>
      </c>
      <c r="C9" s="58">
        <v>803</v>
      </c>
      <c r="D9" s="39"/>
      <c r="E9" s="39"/>
      <c r="F9" s="39"/>
    </row>
    <row r="10" spans="1:11" ht="15" customHeight="1" x14ac:dyDescent="0.2">
      <c r="A10" s="57">
        <v>5</v>
      </c>
      <c r="B10" s="57">
        <v>5</v>
      </c>
      <c r="C10" s="58">
        <v>545</v>
      </c>
      <c r="D10" s="39"/>
      <c r="E10" s="39"/>
      <c r="F10" s="39"/>
    </row>
    <row r="11" spans="1:11" ht="15" customHeight="1" x14ac:dyDescent="0.2">
      <c r="A11" s="57">
        <v>6</v>
      </c>
      <c r="B11" s="57">
        <v>6</v>
      </c>
      <c r="C11" s="58">
        <v>372</v>
      </c>
      <c r="D11" s="39"/>
      <c r="E11" s="39"/>
      <c r="F11" s="39"/>
    </row>
    <row r="12" spans="1:11" ht="15" customHeight="1" x14ac:dyDescent="0.2">
      <c r="A12" s="57">
        <v>7</v>
      </c>
      <c r="B12" s="57">
        <v>7</v>
      </c>
      <c r="C12" s="58">
        <v>314</v>
      </c>
      <c r="D12" s="39"/>
      <c r="E12" s="39"/>
      <c r="F12" s="39"/>
    </row>
    <row r="13" spans="1:11" ht="15" customHeight="1" x14ac:dyDescent="0.2">
      <c r="A13" s="57">
        <v>8</v>
      </c>
      <c r="B13" s="57">
        <v>8</v>
      </c>
      <c r="C13" s="58">
        <v>258</v>
      </c>
      <c r="D13" s="39"/>
      <c r="E13" s="39"/>
      <c r="F13" s="39"/>
    </row>
    <row r="14" spans="1:11" ht="15" customHeight="1" x14ac:dyDescent="0.2">
      <c r="A14" s="57">
        <v>9</v>
      </c>
      <c r="B14" s="57">
        <v>9</v>
      </c>
      <c r="C14" s="58">
        <v>209</v>
      </c>
      <c r="D14" s="39"/>
      <c r="E14" s="39"/>
      <c r="F14" s="39"/>
    </row>
    <row r="15" spans="1:11" ht="15" customHeight="1" x14ac:dyDescent="0.2">
      <c r="A15" s="57">
        <v>10</v>
      </c>
      <c r="B15" s="57">
        <v>10</v>
      </c>
      <c r="C15" s="58">
        <v>149</v>
      </c>
      <c r="D15" s="39"/>
      <c r="E15" s="39"/>
      <c r="F15" s="39"/>
    </row>
    <row r="16" spans="1:11" ht="15" customHeight="1" x14ac:dyDescent="0.2">
      <c r="A16" s="57">
        <v>11</v>
      </c>
      <c r="B16" s="57">
        <v>11</v>
      </c>
      <c r="C16" s="58">
        <v>136</v>
      </c>
      <c r="D16" s="39"/>
      <c r="E16" s="39"/>
      <c r="F16" s="39"/>
    </row>
    <row r="17" spans="1:6" ht="15" customHeight="1" x14ac:dyDescent="0.2">
      <c r="A17" s="57">
        <v>12</v>
      </c>
      <c r="B17" s="57">
        <v>12</v>
      </c>
      <c r="C17" s="58">
        <v>138</v>
      </c>
      <c r="D17" s="39"/>
      <c r="E17" s="39"/>
      <c r="F17" s="39"/>
    </row>
    <row r="18" spans="1:6" ht="15" customHeight="1" x14ac:dyDescent="0.2">
      <c r="A18" s="57">
        <v>13</v>
      </c>
      <c r="B18" s="57">
        <v>13</v>
      </c>
      <c r="C18" s="58">
        <v>99</v>
      </c>
      <c r="D18" s="39"/>
      <c r="E18" s="39"/>
      <c r="F18" s="39"/>
    </row>
    <row r="19" spans="1:6" ht="15" customHeight="1" x14ac:dyDescent="0.2">
      <c r="A19" s="57">
        <v>14</v>
      </c>
      <c r="B19" s="57">
        <v>14</v>
      </c>
      <c r="C19" s="58">
        <v>89</v>
      </c>
      <c r="D19" s="39"/>
      <c r="E19" s="39"/>
      <c r="F19" s="39"/>
    </row>
    <row r="20" spans="1:6" ht="15" customHeight="1" x14ac:dyDescent="0.2">
      <c r="A20" s="57">
        <v>15</v>
      </c>
      <c r="B20" s="57">
        <v>15</v>
      </c>
      <c r="C20" s="58">
        <v>93</v>
      </c>
      <c r="D20" s="39"/>
      <c r="E20" s="39"/>
      <c r="F20" s="39"/>
    </row>
    <row r="21" spans="1:6" ht="15" customHeight="1" x14ac:dyDescent="0.2">
      <c r="A21" s="57">
        <v>16</v>
      </c>
      <c r="B21" s="57">
        <v>16</v>
      </c>
      <c r="C21" s="58">
        <v>70</v>
      </c>
      <c r="D21" s="39"/>
      <c r="E21" s="39"/>
      <c r="F21" s="39"/>
    </row>
    <row r="22" spans="1:6" ht="15" customHeight="1" x14ac:dyDescent="0.2">
      <c r="A22" s="57">
        <v>17</v>
      </c>
      <c r="B22" s="57">
        <v>17</v>
      </c>
      <c r="C22" s="58">
        <v>54</v>
      </c>
      <c r="D22" s="39"/>
      <c r="E22" s="39"/>
      <c r="F22" s="39"/>
    </row>
    <row r="23" spans="1:6" ht="15" customHeight="1" x14ac:dyDescent="0.2">
      <c r="A23" s="57">
        <v>18</v>
      </c>
      <c r="B23" s="57">
        <v>18</v>
      </c>
      <c r="C23" s="58">
        <v>62</v>
      </c>
      <c r="D23" s="39"/>
      <c r="E23" s="39"/>
      <c r="F23" s="39"/>
    </row>
    <row r="24" spans="1:6" ht="15" customHeight="1" x14ac:dyDescent="0.2">
      <c r="A24" s="57">
        <v>19</v>
      </c>
      <c r="B24" s="57">
        <v>19</v>
      </c>
      <c r="C24" s="58">
        <v>54</v>
      </c>
      <c r="D24" s="39"/>
      <c r="E24" s="39"/>
      <c r="F24" s="39"/>
    </row>
    <row r="25" spans="1:6" ht="15" customHeight="1" x14ac:dyDescent="0.2">
      <c r="A25" s="57">
        <v>20</v>
      </c>
      <c r="B25" s="57">
        <v>20</v>
      </c>
      <c r="C25" s="58">
        <v>43</v>
      </c>
      <c r="D25" s="39"/>
      <c r="E25" s="39"/>
      <c r="F25" s="39"/>
    </row>
    <row r="26" spans="1:6" ht="15" customHeight="1" x14ac:dyDescent="0.2">
      <c r="A26" s="57">
        <v>21</v>
      </c>
      <c r="B26" s="57">
        <v>21</v>
      </c>
      <c r="C26" s="58">
        <v>46</v>
      </c>
      <c r="D26" s="39"/>
      <c r="E26" s="39"/>
      <c r="F26" s="39"/>
    </row>
    <row r="27" spans="1:6" ht="15" customHeight="1" x14ac:dyDescent="0.2">
      <c r="A27" s="57">
        <v>22</v>
      </c>
      <c r="B27" s="57">
        <v>22</v>
      </c>
      <c r="C27" s="58">
        <v>44</v>
      </c>
      <c r="D27" s="39"/>
      <c r="E27" s="39"/>
      <c r="F27" s="39"/>
    </row>
    <row r="28" spans="1:6" ht="15" customHeight="1" x14ac:dyDescent="0.2">
      <c r="A28" s="57">
        <v>23</v>
      </c>
      <c r="B28" s="57">
        <v>23</v>
      </c>
      <c r="C28" s="58">
        <v>21</v>
      </c>
      <c r="D28" s="39"/>
      <c r="E28" s="39"/>
      <c r="F28" s="39"/>
    </row>
    <row r="29" spans="1:6" ht="15" customHeight="1" x14ac:dyDescent="0.2">
      <c r="A29" s="57">
        <v>24</v>
      </c>
      <c r="B29" s="57">
        <v>24</v>
      </c>
      <c r="C29" s="58">
        <v>24</v>
      </c>
      <c r="D29" s="39"/>
      <c r="E29" s="39"/>
      <c r="F29" s="39"/>
    </row>
    <row r="30" spans="1:6" ht="15" customHeight="1" x14ac:dyDescent="0.2">
      <c r="A30" s="57">
        <v>25</v>
      </c>
      <c r="B30" s="57">
        <v>25</v>
      </c>
      <c r="C30" s="58">
        <v>22</v>
      </c>
      <c r="D30" s="39"/>
      <c r="E30" s="39"/>
      <c r="F30" s="39"/>
    </row>
    <row r="31" spans="1:6" ht="15" customHeight="1" x14ac:dyDescent="0.2">
      <c r="A31" s="57">
        <v>26</v>
      </c>
      <c r="B31" s="57">
        <v>26</v>
      </c>
      <c r="C31" s="58">
        <v>35</v>
      </c>
      <c r="D31" s="39"/>
      <c r="E31" s="39"/>
      <c r="F31" s="39"/>
    </row>
    <row r="32" spans="1:6" ht="15" customHeight="1" x14ac:dyDescent="0.2">
      <c r="A32" s="57">
        <v>27</v>
      </c>
      <c r="B32" s="57">
        <v>27</v>
      </c>
      <c r="C32" s="58">
        <v>21</v>
      </c>
      <c r="D32" s="39"/>
      <c r="E32" s="39"/>
      <c r="F32" s="39"/>
    </row>
    <row r="33" spans="1:6" ht="15" customHeight="1" x14ac:dyDescent="0.2">
      <c r="A33" s="57">
        <v>28</v>
      </c>
      <c r="B33" s="57">
        <v>28</v>
      </c>
      <c r="C33" s="58">
        <v>21</v>
      </c>
      <c r="D33" s="39"/>
      <c r="E33" s="39"/>
      <c r="F33" s="39"/>
    </row>
    <row r="34" spans="1:6" ht="15" customHeight="1" x14ac:dyDescent="0.2">
      <c r="A34" s="57">
        <v>29</v>
      </c>
      <c r="B34" s="57">
        <v>29</v>
      </c>
      <c r="C34" s="58">
        <v>19</v>
      </c>
      <c r="D34" s="39"/>
      <c r="E34" s="39"/>
      <c r="F34" s="39"/>
    </row>
    <row r="35" spans="1:6" ht="15" customHeight="1" x14ac:dyDescent="0.2">
      <c r="A35" s="57">
        <v>30</v>
      </c>
      <c r="B35" s="57">
        <v>30</v>
      </c>
      <c r="C35" s="58">
        <v>14</v>
      </c>
      <c r="D35" s="39"/>
      <c r="E35" s="39"/>
      <c r="F35" s="39"/>
    </row>
    <row r="36" spans="1:6" ht="15" customHeight="1" x14ac:dyDescent="0.2">
      <c r="A36" s="57">
        <v>31</v>
      </c>
      <c r="B36" s="57">
        <v>31</v>
      </c>
      <c r="C36" s="58">
        <v>22</v>
      </c>
      <c r="D36" s="39"/>
      <c r="E36" s="39"/>
      <c r="F36" s="39"/>
    </row>
    <row r="37" spans="1:6" ht="15" customHeight="1" x14ac:dyDescent="0.2">
      <c r="A37" s="57">
        <v>32</v>
      </c>
      <c r="B37" s="57">
        <v>32</v>
      </c>
      <c r="C37" s="58">
        <v>11</v>
      </c>
      <c r="D37" s="39"/>
      <c r="E37" s="39"/>
      <c r="F37" s="39"/>
    </row>
    <row r="38" spans="1:6" ht="15" customHeight="1" x14ac:dyDescent="0.2">
      <c r="A38" s="57">
        <v>33</v>
      </c>
      <c r="B38" s="57">
        <v>33</v>
      </c>
      <c r="C38" s="58">
        <v>8</v>
      </c>
      <c r="D38" s="39"/>
      <c r="E38" s="39"/>
      <c r="F38" s="39"/>
    </row>
    <row r="39" spans="1:6" ht="15" customHeight="1" x14ac:dyDescent="0.2">
      <c r="A39" s="57">
        <v>34</v>
      </c>
      <c r="B39" s="57">
        <v>34</v>
      </c>
      <c r="C39" s="58">
        <v>17</v>
      </c>
      <c r="D39" s="39"/>
      <c r="E39" s="39"/>
      <c r="F39" s="39"/>
    </row>
    <row r="40" spans="1:6" ht="15" customHeight="1" x14ac:dyDescent="0.2">
      <c r="A40" s="57">
        <v>35</v>
      </c>
      <c r="B40" s="57">
        <v>35</v>
      </c>
      <c r="C40" s="58">
        <v>9</v>
      </c>
      <c r="D40" s="39"/>
      <c r="E40" s="39"/>
      <c r="F40" s="39"/>
    </row>
    <row r="41" spans="1:6" ht="15" customHeight="1" x14ac:dyDescent="0.2">
      <c r="A41" s="57">
        <v>36</v>
      </c>
      <c r="B41" s="57">
        <v>36</v>
      </c>
      <c r="C41" s="58">
        <v>12</v>
      </c>
      <c r="D41" s="39"/>
      <c r="E41" s="39"/>
      <c r="F41" s="39"/>
    </row>
    <row r="42" spans="1:6" ht="15" customHeight="1" x14ac:dyDescent="0.2">
      <c r="A42" s="57">
        <v>37</v>
      </c>
      <c r="B42" s="57">
        <v>37</v>
      </c>
      <c r="C42" s="58">
        <v>10</v>
      </c>
      <c r="D42" s="39"/>
      <c r="E42" s="39"/>
      <c r="F42" s="39"/>
    </row>
    <row r="43" spans="1:6" ht="15" customHeight="1" x14ac:dyDescent="0.2">
      <c r="A43" s="57">
        <v>38</v>
      </c>
      <c r="B43" s="57">
        <v>38</v>
      </c>
      <c r="C43" s="58">
        <v>11</v>
      </c>
      <c r="D43" s="39"/>
      <c r="E43" s="39"/>
      <c r="F43" s="39"/>
    </row>
    <row r="44" spans="1:6" ht="15" customHeight="1" x14ac:dyDescent="0.2">
      <c r="A44" s="57">
        <v>39</v>
      </c>
      <c r="B44" s="57">
        <v>39</v>
      </c>
      <c r="C44" s="58">
        <v>4</v>
      </c>
      <c r="D44" s="39"/>
      <c r="E44" s="39"/>
      <c r="F44" s="39"/>
    </row>
    <row r="45" spans="1:6" ht="15" customHeight="1" x14ac:dyDescent="0.2">
      <c r="A45" s="57">
        <v>40</v>
      </c>
      <c r="B45" s="57">
        <v>40</v>
      </c>
      <c r="C45" s="58">
        <v>8</v>
      </c>
      <c r="D45" s="39"/>
      <c r="E45" s="39"/>
      <c r="F45" s="39"/>
    </row>
    <row r="46" spans="1:6" ht="15" customHeight="1" x14ac:dyDescent="0.2">
      <c r="A46" s="57">
        <v>41</v>
      </c>
      <c r="B46" s="57">
        <v>41</v>
      </c>
      <c r="C46" s="58">
        <v>5</v>
      </c>
      <c r="D46" s="39"/>
      <c r="E46" s="39"/>
      <c r="F46" s="39"/>
    </row>
    <row r="47" spans="1:6" ht="15" customHeight="1" x14ac:dyDescent="0.2">
      <c r="A47" s="57">
        <v>42</v>
      </c>
      <c r="B47" s="57">
        <v>42</v>
      </c>
      <c r="C47" s="58">
        <v>9</v>
      </c>
      <c r="D47" s="39"/>
      <c r="E47" s="39"/>
      <c r="F47" s="39"/>
    </row>
    <row r="48" spans="1:6" ht="15" customHeight="1" x14ac:dyDescent="0.2">
      <c r="A48" s="57">
        <v>43</v>
      </c>
      <c r="B48" s="57">
        <v>43</v>
      </c>
      <c r="C48" s="58">
        <v>13</v>
      </c>
      <c r="D48" s="39"/>
      <c r="E48" s="39"/>
      <c r="F48" s="39"/>
    </row>
    <row r="49" spans="1:6" ht="15" customHeight="1" x14ac:dyDescent="0.2">
      <c r="A49" s="57">
        <v>44</v>
      </c>
      <c r="B49" s="57">
        <v>44</v>
      </c>
      <c r="C49" s="58">
        <v>10</v>
      </c>
      <c r="D49" s="39"/>
      <c r="E49" s="39"/>
      <c r="F49" s="39"/>
    </row>
    <row r="50" spans="1:6" ht="15" customHeight="1" x14ac:dyDescent="0.2">
      <c r="A50" s="57">
        <v>45</v>
      </c>
      <c r="B50" s="57">
        <v>45</v>
      </c>
      <c r="C50" s="58">
        <v>4</v>
      </c>
      <c r="D50" s="39"/>
      <c r="E50" s="39"/>
      <c r="F50" s="39"/>
    </row>
    <row r="51" spans="1:6" ht="15" customHeight="1" x14ac:dyDescent="0.2">
      <c r="A51" s="57">
        <v>46</v>
      </c>
      <c r="B51" s="57">
        <v>46</v>
      </c>
      <c r="C51" s="58">
        <v>4</v>
      </c>
      <c r="D51" s="39"/>
      <c r="E51" s="39"/>
      <c r="F51" s="39"/>
    </row>
    <row r="52" spans="1:6" ht="15" customHeight="1" x14ac:dyDescent="0.2">
      <c r="A52" s="57">
        <v>47</v>
      </c>
      <c r="B52" s="57">
        <v>47</v>
      </c>
      <c r="C52" s="58">
        <v>4</v>
      </c>
      <c r="D52" s="39"/>
      <c r="E52" s="39"/>
      <c r="F52" s="39"/>
    </row>
    <row r="53" spans="1:6" ht="15" customHeight="1" x14ac:dyDescent="0.2">
      <c r="A53" s="57">
        <v>48</v>
      </c>
      <c r="B53" s="57">
        <v>48</v>
      </c>
      <c r="C53" s="58">
        <v>10</v>
      </c>
      <c r="D53" s="39"/>
      <c r="E53" s="39"/>
      <c r="F53" s="39"/>
    </row>
    <row r="54" spans="1:6" ht="15" customHeight="1" x14ac:dyDescent="0.2">
      <c r="A54" s="57">
        <v>49</v>
      </c>
      <c r="B54" s="57">
        <v>49</v>
      </c>
      <c r="C54" s="58">
        <v>9</v>
      </c>
      <c r="D54" s="39"/>
      <c r="E54" s="39"/>
      <c r="F54" s="39"/>
    </row>
    <row r="55" spans="1:6" ht="15" customHeight="1" x14ac:dyDescent="0.2">
      <c r="A55" s="57">
        <v>50</v>
      </c>
      <c r="B55" s="57">
        <v>50</v>
      </c>
      <c r="C55" s="58">
        <v>10</v>
      </c>
      <c r="D55" s="39"/>
      <c r="E55" s="39"/>
      <c r="F55" s="39"/>
    </row>
    <row r="56" spans="1:6" ht="15" customHeight="1" x14ac:dyDescent="0.2">
      <c r="A56" s="57">
        <v>51</v>
      </c>
      <c r="B56" s="57">
        <v>51</v>
      </c>
      <c r="C56" s="58">
        <v>5</v>
      </c>
      <c r="D56" s="39"/>
      <c r="E56" s="39"/>
      <c r="F56" s="39"/>
    </row>
    <row r="57" spans="1:6" ht="15" customHeight="1" x14ac:dyDescent="0.2">
      <c r="A57" s="57">
        <v>52</v>
      </c>
      <c r="B57" s="57">
        <v>53</v>
      </c>
      <c r="C57" s="58">
        <v>2</v>
      </c>
      <c r="D57" s="39"/>
      <c r="E57" s="39"/>
      <c r="F57" s="39"/>
    </row>
    <row r="58" spans="1:6" ht="15" customHeight="1" x14ac:dyDescent="0.2">
      <c r="A58" s="57">
        <v>53</v>
      </c>
      <c r="B58" s="57">
        <v>54</v>
      </c>
      <c r="C58" s="58">
        <v>1</v>
      </c>
      <c r="D58" s="39"/>
      <c r="E58" s="39"/>
      <c r="F58" s="39"/>
    </row>
    <row r="59" spans="1:6" ht="15" customHeight="1" x14ac:dyDescent="0.2">
      <c r="A59" s="57">
        <v>54</v>
      </c>
      <c r="B59" s="57">
        <v>55</v>
      </c>
      <c r="C59" s="58">
        <v>2</v>
      </c>
      <c r="D59" s="39"/>
      <c r="E59" s="39"/>
      <c r="F59" s="39"/>
    </row>
    <row r="60" spans="1:6" ht="15" customHeight="1" x14ac:dyDescent="0.2">
      <c r="A60" s="57">
        <v>55</v>
      </c>
      <c r="B60" s="57">
        <v>56</v>
      </c>
      <c r="C60" s="58">
        <v>2</v>
      </c>
      <c r="D60" s="39"/>
      <c r="E60" s="39"/>
      <c r="F60" s="39"/>
    </row>
    <row r="61" spans="1:6" ht="15" customHeight="1" x14ac:dyDescent="0.2">
      <c r="A61" s="57">
        <v>56</v>
      </c>
      <c r="B61" s="57">
        <v>57</v>
      </c>
      <c r="C61" s="58">
        <v>3</v>
      </c>
      <c r="D61" s="39"/>
      <c r="E61" s="39"/>
      <c r="F61" s="39"/>
    </row>
    <row r="62" spans="1:6" ht="15" customHeight="1" x14ac:dyDescent="0.2">
      <c r="A62" s="57">
        <v>57</v>
      </c>
      <c r="B62" s="57">
        <v>58</v>
      </c>
      <c r="C62" s="58">
        <v>1</v>
      </c>
      <c r="D62" s="39"/>
      <c r="E62" s="39"/>
      <c r="F62" s="39"/>
    </row>
    <row r="63" spans="1:6" ht="15" customHeight="1" x14ac:dyDescent="0.2">
      <c r="A63" s="57">
        <v>58</v>
      </c>
      <c r="B63" s="57">
        <v>59</v>
      </c>
      <c r="C63" s="58">
        <v>3</v>
      </c>
      <c r="D63" s="39"/>
      <c r="E63" s="39"/>
      <c r="F63" s="39"/>
    </row>
    <row r="64" spans="1:6" ht="15" customHeight="1" x14ac:dyDescent="0.2">
      <c r="A64" s="57">
        <v>59</v>
      </c>
      <c r="B64" s="57">
        <v>60</v>
      </c>
      <c r="C64" s="58">
        <v>2</v>
      </c>
      <c r="D64" s="39"/>
      <c r="E64" s="39"/>
      <c r="F64" s="39"/>
    </row>
    <row r="65" spans="1:6" ht="15" customHeight="1" x14ac:dyDescent="0.2">
      <c r="A65" s="57">
        <v>60</v>
      </c>
      <c r="B65" s="57">
        <v>61</v>
      </c>
      <c r="C65" s="58">
        <v>2</v>
      </c>
      <c r="D65" s="39"/>
      <c r="E65" s="39"/>
      <c r="F65" s="39"/>
    </row>
    <row r="66" spans="1:6" ht="15" customHeight="1" x14ac:dyDescent="0.2">
      <c r="A66" s="57">
        <v>61</v>
      </c>
      <c r="B66" s="57">
        <v>62</v>
      </c>
      <c r="C66" s="58">
        <v>4</v>
      </c>
      <c r="D66" s="39"/>
      <c r="E66" s="39"/>
      <c r="F66" s="39"/>
    </row>
    <row r="67" spans="1:6" ht="15" customHeight="1" x14ac:dyDescent="0.2">
      <c r="A67" s="57">
        <v>62</v>
      </c>
      <c r="B67" s="57">
        <v>63</v>
      </c>
      <c r="C67" s="58">
        <v>3</v>
      </c>
      <c r="D67" s="39"/>
      <c r="E67" s="39"/>
      <c r="F67" s="39"/>
    </row>
    <row r="68" spans="1:6" ht="15" customHeight="1" x14ac:dyDescent="0.2">
      <c r="A68" s="57">
        <v>63</v>
      </c>
      <c r="B68" s="57">
        <v>64</v>
      </c>
      <c r="C68" s="58">
        <v>2</v>
      </c>
      <c r="D68" s="39"/>
      <c r="E68" s="39"/>
      <c r="F68" s="39"/>
    </row>
    <row r="69" spans="1:6" ht="15" customHeight="1" x14ac:dyDescent="0.2">
      <c r="A69" s="57">
        <v>64</v>
      </c>
      <c r="B69" s="57">
        <v>65</v>
      </c>
      <c r="C69" s="58">
        <v>7</v>
      </c>
      <c r="D69" s="39"/>
      <c r="E69" s="39"/>
      <c r="F69" s="39"/>
    </row>
    <row r="70" spans="1:6" ht="15" customHeight="1" x14ac:dyDescent="0.2">
      <c r="A70" s="57">
        <v>65</v>
      </c>
      <c r="B70" s="57">
        <v>66</v>
      </c>
      <c r="C70" s="58">
        <v>2</v>
      </c>
      <c r="D70" s="39"/>
      <c r="E70" s="39"/>
      <c r="F70" s="39"/>
    </row>
    <row r="71" spans="1:6" ht="15" customHeight="1" x14ac:dyDescent="0.2">
      <c r="A71" s="57">
        <v>66</v>
      </c>
      <c r="B71" s="57">
        <v>67</v>
      </c>
      <c r="C71" s="58">
        <v>1</v>
      </c>
      <c r="D71" s="39"/>
      <c r="E71" s="39"/>
      <c r="F71" s="39"/>
    </row>
    <row r="72" spans="1:6" ht="15" customHeight="1" x14ac:dyDescent="0.2">
      <c r="A72" s="57">
        <v>67</v>
      </c>
      <c r="B72" s="57">
        <v>68</v>
      </c>
      <c r="C72" s="58">
        <v>3</v>
      </c>
      <c r="D72" s="39"/>
      <c r="E72" s="39"/>
      <c r="F72" s="39"/>
    </row>
    <row r="73" spans="1:6" ht="15" customHeight="1" x14ac:dyDescent="0.2">
      <c r="A73" s="57">
        <v>68</v>
      </c>
      <c r="B73" s="57">
        <v>70</v>
      </c>
      <c r="C73" s="58">
        <v>2</v>
      </c>
      <c r="D73" s="39"/>
      <c r="E73" s="39"/>
      <c r="F73" s="39"/>
    </row>
    <row r="74" spans="1:6" ht="15" customHeight="1" x14ac:dyDescent="0.2">
      <c r="A74" s="57">
        <v>69</v>
      </c>
      <c r="B74" s="57">
        <v>72</v>
      </c>
      <c r="C74" s="58">
        <v>1</v>
      </c>
      <c r="D74" s="39"/>
      <c r="E74" s="39"/>
      <c r="F74" s="39"/>
    </row>
    <row r="75" spans="1:6" ht="15" customHeight="1" x14ac:dyDescent="0.2">
      <c r="A75" s="57">
        <v>70</v>
      </c>
      <c r="B75" s="57">
        <v>74</v>
      </c>
      <c r="C75" s="58">
        <v>1</v>
      </c>
      <c r="D75" s="39"/>
      <c r="E75" s="39"/>
      <c r="F75" s="39"/>
    </row>
    <row r="76" spans="1:6" ht="15" customHeight="1" x14ac:dyDescent="0.2">
      <c r="A76" s="57">
        <v>71</v>
      </c>
      <c r="B76" s="57">
        <v>75</v>
      </c>
      <c r="C76" s="58">
        <v>2</v>
      </c>
      <c r="D76" s="39"/>
      <c r="E76" s="39"/>
      <c r="F76" s="39"/>
    </row>
    <row r="77" spans="1:6" ht="15" customHeight="1" x14ac:dyDescent="0.2">
      <c r="A77" s="57">
        <v>72</v>
      </c>
      <c r="B77" s="57">
        <v>78</v>
      </c>
      <c r="C77" s="58">
        <v>1</v>
      </c>
      <c r="D77" s="39"/>
      <c r="E77" s="39"/>
      <c r="F77" s="39"/>
    </row>
    <row r="78" spans="1:6" ht="15" customHeight="1" x14ac:dyDescent="0.2">
      <c r="A78" s="57">
        <v>73</v>
      </c>
      <c r="B78" s="57">
        <v>80</v>
      </c>
      <c r="C78" s="58">
        <v>1</v>
      </c>
      <c r="D78" s="39"/>
      <c r="E78" s="39"/>
      <c r="F78" s="39"/>
    </row>
    <row r="79" spans="1:6" ht="15" customHeight="1" x14ac:dyDescent="0.2">
      <c r="A79" s="57">
        <v>74</v>
      </c>
      <c r="B79" s="57">
        <v>81</v>
      </c>
      <c r="C79" s="58">
        <v>1</v>
      </c>
      <c r="D79" s="39"/>
      <c r="E79" s="39"/>
      <c r="F79" s="39"/>
    </row>
    <row r="80" spans="1:6" ht="15" customHeight="1" x14ac:dyDescent="0.2">
      <c r="A80" s="57">
        <v>75</v>
      </c>
      <c r="B80" s="57">
        <v>82</v>
      </c>
      <c r="C80" s="58">
        <v>2</v>
      </c>
      <c r="D80" s="39"/>
      <c r="E80" s="39"/>
      <c r="F80" s="39"/>
    </row>
    <row r="81" spans="1:6" ht="15" customHeight="1" x14ac:dyDescent="0.2">
      <c r="A81" s="57">
        <v>76</v>
      </c>
      <c r="B81" s="57">
        <v>83</v>
      </c>
      <c r="C81" s="58">
        <v>2</v>
      </c>
      <c r="D81" s="39"/>
      <c r="E81" s="39"/>
      <c r="F81" s="39"/>
    </row>
    <row r="82" spans="1:6" ht="15" customHeight="1" x14ac:dyDescent="0.2">
      <c r="A82" s="57">
        <v>77</v>
      </c>
      <c r="B82" s="57">
        <v>84</v>
      </c>
      <c r="C82" s="58">
        <v>1</v>
      </c>
      <c r="D82" s="39"/>
      <c r="E82" s="39"/>
      <c r="F82" s="39"/>
    </row>
    <row r="83" spans="1:6" ht="15" customHeight="1" x14ac:dyDescent="0.2">
      <c r="A83" s="57">
        <v>78</v>
      </c>
      <c r="B83" s="57">
        <v>86</v>
      </c>
      <c r="C83" s="58">
        <v>1</v>
      </c>
      <c r="D83" s="39"/>
      <c r="E83" s="39"/>
      <c r="F83" s="39"/>
    </row>
    <row r="84" spans="1:6" ht="15" customHeight="1" x14ac:dyDescent="0.2">
      <c r="A84" s="57">
        <v>79</v>
      </c>
      <c r="B84" s="57">
        <v>87</v>
      </c>
      <c r="C84" s="58">
        <v>2</v>
      </c>
      <c r="D84" s="39"/>
      <c r="E84" s="39"/>
      <c r="F84" s="39"/>
    </row>
    <row r="85" spans="1:6" ht="15" customHeight="1" x14ac:dyDescent="0.2">
      <c r="A85" s="57">
        <v>80</v>
      </c>
      <c r="B85" s="57">
        <v>88</v>
      </c>
      <c r="C85" s="58">
        <v>1</v>
      </c>
      <c r="D85" s="39"/>
      <c r="E85" s="39"/>
      <c r="F85" s="39"/>
    </row>
    <row r="86" spans="1:6" ht="15" customHeight="1" x14ac:dyDescent="0.2">
      <c r="A86" s="57">
        <v>81</v>
      </c>
      <c r="B86" s="57">
        <v>90</v>
      </c>
      <c r="C86" s="58">
        <v>2</v>
      </c>
      <c r="D86" s="39"/>
      <c r="E86" s="39"/>
      <c r="F86" s="39"/>
    </row>
    <row r="87" spans="1:6" ht="15" customHeight="1" x14ac:dyDescent="0.2">
      <c r="A87" s="57">
        <v>82</v>
      </c>
      <c r="B87" s="57">
        <v>92</v>
      </c>
      <c r="C87" s="58">
        <v>1</v>
      </c>
      <c r="D87" s="39"/>
      <c r="E87" s="39"/>
      <c r="F87" s="39"/>
    </row>
    <row r="88" spans="1:6" ht="15" customHeight="1" x14ac:dyDescent="0.2">
      <c r="A88" s="57">
        <v>83</v>
      </c>
      <c r="B88" s="57">
        <v>93</v>
      </c>
      <c r="C88" s="58">
        <v>1</v>
      </c>
      <c r="D88" s="39"/>
      <c r="E88" s="39"/>
      <c r="F88" s="39"/>
    </row>
    <row r="89" spans="1:6" ht="15" customHeight="1" x14ac:dyDescent="0.2">
      <c r="A89" s="57">
        <v>84</v>
      </c>
      <c r="B89" s="57">
        <v>95</v>
      </c>
      <c r="C89" s="58">
        <v>1</v>
      </c>
      <c r="D89" s="39"/>
      <c r="E89" s="39"/>
      <c r="F89" s="39"/>
    </row>
    <row r="90" spans="1:6" ht="15" customHeight="1" x14ac:dyDescent="0.2">
      <c r="A90" s="57">
        <v>85</v>
      </c>
      <c r="B90" s="57">
        <v>96</v>
      </c>
      <c r="C90" s="58">
        <v>1</v>
      </c>
      <c r="D90" s="39"/>
      <c r="E90" s="39"/>
      <c r="F90" s="39"/>
    </row>
    <row r="91" spans="1:6" ht="15" customHeight="1" x14ac:dyDescent="0.2">
      <c r="A91" s="57">
        <v>86</v>
      </c>
      <c r="B91" s="57">
        <v>117</v>
      </c>
      <c r="C91" s="58">
        <v>1</v>
      </c>
      <c r="D91" s="39"/>
      <c r="E91" s="39"/>
      <c r="F91" s="39"/>
    </row>
    <row r="92" spans="1:6" ht="15" customHeight="1" x14ac:dyDescent="0.2">
      <c r="A92" s="57">
        <v>87</v>
      </c>
      <c r="B92" s="57">
        <v>120</v>
      </c>
      <c r="C92" s="58">
        <v>2</v>
      </c>
      <c r="D92" s="39"/>
      <c r="E92" s="39"/>
      <c r="F92" s="39"/>
    </row>
    <row r="93" spans="1:6" ht="15" customHeight="1" x14ac:dyDescent="0.2">
      <c r="A93" s="57">
        <v>88</v>
      </c>
      <c r="B93" s="57">
        <v>136</v>
      </c>
      <c r="C93" s="58">
        <v>2</v>
      </c>
      <c r="D93" s="39"/>
      <c r="E93" s="39"/>
      <c r="F93" s="39"/>
    </row>
    <row r="94" spans="1:6" ht="15" customHeight="1" x14ac:dyDescent="0.2">
      <c r="A94" s="57">
        <v>89</v>
      </c>
      <c r="B94" s="57">
        <v>138</v>
      </c>
      <c r="C94" s="58">
        <v>1</v>
      </c>
      <c r="D94" s="39"/>
      <c r="E94" s="39"/>
      <c r="F94" s="39"/>
    </row>
    <row r="95" spans="1:6" ht="15" customHeight="1" x14ac:dyDescent="0.2">
      <c r="A95" s="57">
        <v>90</v>
      </c>
      <c r="B95" s="57">
        <v>147</v>
      </c>
      <c r="C95" s="58">
        <v>1</v>
      </c>
      <c r="D95" s="39"/>
      <c r="E95" s="39"/>
      <c r="F95" s="39"/>
    </row>
    <row r="96" spans="1:6" ht="15" customHeight="1" x14ac:dyDescent="0.2">
      <c r="A96" s="57">
        <v>91</v>
      </c>
      <c r="B96" s="57">
        <v>148</v>
      </c>
      <c r="C96" s="58">
        <v>1</v>
      </c>
      <c r="D96" s="39"/>
      <c r="E96" s="39"/>
      <c r="F96" s="39"/>
    </row>
    <row r="97" spans="1:11" ht="15" customHeight="1" x14ac:dyDescent="0.2">
      <c r="A97" s="57">
        <v>92</v>
      </c>
      <c r="B97" s="57">
        <v>162</v>
      </c>
      <c r="C97" s="58">
        <v>1</v>
      </c>
      <c r="D97" s="39"/>
      <c r="E97" s="39"/>
      <c r="F97" s="39"/>
    </row>
    <row r="98" spans="1:11" ht="19" customHeight="1" x14ac:dyDescent="0.2">
      <c r="A98" s="23" t="s">
        <v>4</v>
      </c>
      <c r="B98" s="46"/>
      <c r="C98" s="2">
        <f>SUM(C6:C97)</f>
        <v>12791</v>
      </c>
      <c r="D98" s="39"/>
      <c r="E98" s="39"/>
      <c r="F98" s="39"/>
    </row>
    <row r="99" spans="1:11" ht="15" customHeight="1" x14ac:dyDescent="0.2">
      <c r="C99" s="39"/>
      <c r="D99" s="39"/>
      <c r="E99" s="39"/>
      <c r="F99" s="39"/>
    </row>
    <row r="100" spans="1:11" ht="25" customHeight="1" x14ac:dyDescent="0.2">
      <c r="A100" s="17" t="s">
        <v>86</v>
      </c>
      <c r="B100" s="19"/>
      <c r="C100" s="40"/>
      <c r="D100" s="41"/>
      <c r="E100" s="41"/>
      <c r="F100" s="41"/>
      <c r="G100" s="21"/>
      <c r="H100" s="21"/>
      <c r="I100" s="21"/>
      <c r="J100" s="21"/>
      <c r="K100" s="21"/>
    </row>
    <row r="101" spans="1:11" ht="15" customHeight="1" x14ac:dyDescent="0.2">
      <c r="A101" s="23" t="s">
        <v>79</v>
      </c>
      <c r="B101" s="44">
        <v>0.96754919074646328</v>
      </c>
      <c r="C101" s="42"/>
      <c r="D101" s="43"/>
      <c r="E101" s="43"/>
      <c r="F101" s="43"/>
      <c r="G101" s="24"/>
    </row>
    <row r="102" spans="1:11" ht="18" customHeight="1" x14ac:dyDescent="0.2">
      <c r="A102" s="23" t="s">
        <v>80</v>
      </c>
      <c r="B102" s="44">
        <v>0.20426015279235124</v>
      </c>
      <c r="C102" s="42"/>
      <c r="D102" s="43" t="s">
        <v>83</v>
      </c>
      <c r="E102" s="43"/>
      <c r="F102" s="43" t="s">
        <v>84</v>
      </c>
      <c r="G102" s="24"/>
    </row>
    <row r="103" spans="1:11" ht="18" customHeight="1" x14ac:dyDescent="0.2">
      <c r="A103" s="23" t="s">
        <v>81</v>
      </c>
      <c r="B103" s="45">
        <f>SUMPRODUCT(B6:B97, C6:C97) / C98</f>
        <v>4.7862559612227349</v>
      </c>
      <c r="C103" s="42"/>
      <c r="D103" s="43">
        <f>EXP(-$B$103)</f>
        <v>8.3436378787664842E-3</v>
      </c>
      <c r="E103" s="43"/>
      <c r="F103" s="43">
        <f>($B$102/($B$102+1))^$B$101</f>
        <v>0.1796668171921626</v>
      </c>
      <c r="G103" s="24"/>
    </row>
    <row r="104" spans="1:11" ht="14" customHeight="1" x14ac:dyDescent="0.2"/>
    <row r="105" spans="1:11" ht="25" customHeight="1" x14ac:dyDescent="0.2">
      <c r="A105" s="17" t="s">
        <v>69</v>
      </c>
      <c r="B105" s="18"/>
      <c r="C105" s="18"/>
      <c r="D105" s="18"/>
      <c r="E105" s="18"/>
      <c r="F105" s="18"/>
      <c r="G105" s="18"/>
      <c r="H105" s="18"/>
      <c r="I105" s="18"/>
      <c r="J105" s="20"/>
      <c r="K105" s="21"/>
    </row>
    <row r="106" spans="1:11" ht="26" customHeight="1" x14ac:dyDescent="0.2">
      <c r="A106" s="22" t="s">
        <v>5</v>
      </c>
      <c r="B106" s="25" t="s">
        <v>68</v>
      </c>
      <c r="C106" s="22" t="s">
        <v>75</v>
      </c>
      <c r="D106" s="22" t="s">
        <v>76</v>
      </c>
      <c r="E106" s="22" t="s">
        <v>77</v>
      </c>
      <c r="F106" s="22" t="s">
        <v>78</v>
      </c>
      <c r="G106" s="25" t="s">
        <v>66</v>
      </c>
      <c r="H106" s="25" t="s">
        <v>67</v>
      </c>
      <c r="I106" s="22" t="s">
        <v>85</v>
      </c>
    </row>
    <row r="107" spans="1:11" ht="15" customHeight="1" x14ac:dyDescent="0.2">
      <c r="A107" s="57">
        <v>1</v>
      </c>
      <c r="B107" s="58">
        <v>5369</v>
      </c>
      <c r="C107" s="58">
        <f>($B$103/1) * D103</f>
        <v>3.9934786535529898E-2</v>
      </c>
      <c r="D107" s="59">
        <f>C107*$C$98</f>
        <v>510.80585457596294</v>
      </c>
      <c r="E107" s="58">
        <f>(($B$101)/(1*($B$102+1))) * F103</f>
        <v>0.14435127092363739</v>
      </c>
      <c r="F107" s="59">
        <f>E107*$C$98</f>
        <v>1846.3971063842459</v>
      </c>
      <c r="G107" s="58">
        <f t="shared" ref="G107:G138" si="0">IF(C107&gt;0, B107*LN(C107), 0)</f>
        <v>-17290.904724144963</v>
      </c>
      <c r="H107" s="58">
        <f t="shared" ref="H107:H138" si="1">IF(E107&gt;0, B107*LN(E107), 0)</f>
        <v>-10391.729397024616</v>
      </c>
      <c r="I107" s="58">
        <f>B107/C98</f>
        <v>0.419748260495661</v>
      </c>
    </row>
    <row r="108" spans="1:11" ht="15" customHeight="1" x14ac:dyDescent="0.2">
      <c r="A108" s="57">
        <v>2</v>
      </c>
      <c r="B108" s="58">
        <v>2213</v>
      </c>
      <c r="C108" s="58">
        <f>($B$103/A108) * C107</f>
        <v>9.5569055057918698E-2</v>
      </c>
      <c r="D108" s="59">
        <f t="shared" ref="D108:D115" si="2">C108*$C$98</f>
        <v>1222.423783245838</v>
      </c>
      <c r="E108" s="58">
        <f>(($B$101 + A108 - 1)/(A108*($B$102+1))) * E107</f>
        <v>0.11792228848163135</v>
      </c>
      <c r="F108" s="59">
        <f t="shared" ref="F108:F171" si="3">E108*$C$98</f>
        <v>1508.3439919685466</v>
      </c>
      <c r="G108" s="58">
        <f t="shared" si="0"/>
        <v>-5195.9164276529973</v>
      </c>
      <c r="H108" s="58">
        <f t="shared" si="1"/>
        <v>-4730.7952588194921</v>
      </c>
      <c r="I108" s="58">
        <f>B108/C98</f>
        <v>0.17301227425533577</v>
      </c>
    </row>
    <row r="109" spans="1:11" ht="15" customHeight="1" x14ac:dyDescent="0.2">
      <c r="A109" s="57">
        <v>3</v>
      </c>
      <c r="B109" s="58">
        <v>1186</v>
      </c>
      <c r="C109" s="58">
        <f t="shared" ref="C109:C172" si="4">($B$103/A109) * C108</f>
        <v>0.15247265315979572</v>
      </c>
      <c r="D109" s="59">
        <f t="shared" si="2"/>
        <v>1950.277706566947</v>
      </c>
      <c r="E109" s="58">
        <f t="shared" ref="E109:E172" si="5">(($B$101 + A109 - 1)/(A109*($B$102+1))) * E108</f>
        <v>9.6861737320135255E-2</v>
      </c>
      <c r="F109" s="59">
        <f t="shared" si="3"/>
        <v>1238.95848206185</v>
      </c>
      <c r="G109" s="58">
        <f t="shared" si="0"/>
        <v>-2230.5932467530561</v>
      </c>
      <c r="H109" s="58">
        <f t="shared" si="1"/>
        <v>-2768.6822570354602</v>
      </c>
      <c r="I109" s="58">
        <f>B109/C98</f>
        <v>9.2721444765850994E-2</v>
      </c>
    </row>
    <row r="110" spans="1:11" ht="15" customHeight="1" x14ac:dyDescent="0.2">
      <c r="A110" s="57">
        <v>4</v>
      </c>
      <c r="B110" s="58">
        <v>803</v>
      </c>
      <c r="C110" s="58">
        <f t="shared" si="4"/>
        <v>0.18244328627737968</v>
      </c>
      <c r="D110" s="59">
        <f t="shared" si="2"/>
        <v>2333.6320747739637</v>
      </c>
      <c r="E110" s="58">
        <f t="shared" si="5"/>
        <v>7.9780043088634844E-2</v>
      </c>
      <c r="F110" s="59">
        <f t="shared" si="3"/>
        <v>1020.4665311467282</v>
      </c>
      <c r="G110" s="58">
        <f t="shared" si="0"/>
        <v>-1366.1566792467152</v>
      </c>
      <c r="H110" s="58">
        <f t="shared" si="1"/>
        <v>-2030.3709596066999</v>
      </c>
      <c r="I110" s="58">
        <f>B110/C98</f>
        <v>6.2778516144163868E-2</v>
      </c>
    </row>
    <row r="111" spans="1:11" ht="15" customHeight="1" x14ac:dyDescent="0.2">
      <c r="A111" s="57">
        <v>5</v>
      </c>
      <c r="B111" s="58">
        <v>545</v>
      </c>
      <c r="C111" s="58">
        <f t="shared" si="4"/>
        <v>0.17464405330603491</v>
      </c>
      <c r="D111" s="59">
        <f t="shared" si="2"/>
        <v>2233.8720858374927</v>
      </c>
      <c r="E111" s="58">
        <f t="shared" si="5"/>
        <v>6.5818218358172531E-2</v>
      </c>
      <c r="F111" s="59">
        <f t="shared" si="3"/>
        <v>841.8808310193848</v>
      </c>
      <c r="G111" s="58">
        <f t="shared" si="0"/>
        <v>-951.02791984609405</v>
      </c>
      <c r="H111" s="58">
        <f t="shared" si="1"/>
        <v>-1482.8679393049906</v>
      </c>
      <c r="I111" s="58">
        <f>B111/C98</f>
        <v>4.2608083808928152E-2</v>
      </c>
    </row>
    <row r="112" spans="1:11" ht="15" customHeight="1" x14ac:dyDescent="0.2">
      <c r="A112" s="57">
        <v>6</v>
      </c>
      <c r="B112" s="58">
        <v>372</v>
      </c>
      <c r="C112" s="58">
        <f t="shared" si="4"/>
        <v>0.13931519020468511</v>
      </c>
      <c r="D112" s="59">
        <f t="shared" si="2"/>
        <v>1781.9805979081273</v>
      </c>
      <c r="E112" s="58">
        <f t="shared" si="5"/>
        <v>5.4358887873874516E-2</v>
      </c>
      <c r="F112" s="59">
        <f t="shared" si="3"/>
        <v>695.30453479472897</v>
      </c>
      <c r="G112" s="58">
        <f t="shared" si="0"/>
        <v>-733.21808496992014</v>
      </c>
      <c r="H112" s="58">
        <f t="shared" si="1"/>
        <v>-1083.3187392220866</v>
      </c>
      <c r="I112" s="58">
        <f>B112/C98</f>
        <v>2.90829489484794E-2</v>
      </c>
    </row>
    <row r="113" spans="1:9" ht="15" customHeight="1" x14ac:dyDescent="0.2">
      <c r="A113" s="57">
        <v>7</v>
      </c>
      <c r="B113" s="58">
        <v>314</v>
      </c>
      <c r="C113" s="58">
        <f t="shared" si="4"/>
        <v>9.5256879943721895E-2</v>
      </c>
      <c r="D113" s="59">
        <f t="shared" si="2"/>
        <v>1218.4307513601468</v>
      </c>
      <c r="E113" s="58">
        <f t="shared" si="5"/>
        <v>4.4929568740641072E-2</v>
      </c>
      <c r="F113" s="59">
        <f t="shared" si="3"/>
        <v>574.69411376153994</v>
      </c>
      <c r="G113" s="58">
        <f t="shared" si="0"/>
        <v>-738.26990368190923</v>
      </c>
      <c r="H113" s="58">
        <f t="shared" si="1"/>
        <v>-974.23497448737771</v>
      </c>
      <c r="I113" s="58">
        <f>B113/C98</f>
        <v>2.4548510671565944E-2</v>
      </c>
    </row>
    <row r="114" spans="1:9" ht="15" customHeight="1" x14ac:dyDescent="0.2">
      <c r="A114" s="57">
        <v>8</v>
      </c>
      <c r="B114" s="58">
        <v>258</v>
      </c>
      <c r="C114" s="58">
        <f t="shared" si="4"/>
        <v>5.699047618476466E-2</v>
      </c>
      <c r="D114" s="59">
        <f t="shared" si="2"/>
        <v>728.96518087932475</v>
      </c>
      <c r="E114" s="58">
        <f t="shared" si="5"/>
        <v>3.7157518272736549E-2</v>
      </c>
      <c r="F114" s="59">
        <f t="shared" si="3"/>
        <v>475.2818162265732</v>
      </c>
      <c r="G114" s="58">
        <f t="shared" si="0"/>
        <v>-739.13674627307614</v>
      </c>
      <c r="H114" s="58">
        <f t="shared" si="1"/>
        <v>-849.48800126164588</v>
      </c>
      <c r="I114" s="58">
        <f>B114/C98</f>
        <v>2.0170432335235713E-2</v>
      </c>
    </row>
    <row r="115" spans="1:9" ht="15" customHeight="1" x14ac:dyDescent="0.2">
      <c r="A115" s="57">
        <v>9</v>
      </c>
      <c r="B115" s="58">
        <v>209</v>
      </c>
      <c r="C115" s="58">
        <f t="shared" si="4"/>
        <v>3.0307889596916909E-2</v>
      </c>
      <c r="D115" s="59">
        <f t="shared" si="2"/>
        <v>387.66821583416419</v>
      </c>
      <c r="E115" s="58">
        <f t="shared" si="5"/>
        <v>3.0743806767462443E-2</v>
      </c>
      <c r="F115" s="59">
        <f t="shared" si="3"/>
        <v>393.24403236261213</v>
      </c>
      <c r="G115" s="58">
        <f t="shared" si="0"/>
        <v>-730.7365684834125</v>
      </c>
      <c r="H115" s="58">
        <f t="shared" si="1"/>
        <v>-727.75194258869419</v>
      </c>
      <c r="I115" s="58">
        <f>B115/C98</f>
        <v>1.6339613790946759E-2</v>
      </c>
    </row>
    <row r="116" spans="1:9" ht="15" customHeight="1" x14ac:dyDescent="0.2">
      <c r="A116" s="57">
        <v>10</v>
      </c>
      <c r="B116" s="58">
        <v>149</v>
      </c>
      <c r="C116" s="58">
        <f t="shared" si="4"/>
        <v>1.4506131725532407E-2</v>
      </c>
      <c r="D116" s="59">
        <f>C116*$C$98</f>
        <v>185.54793090128501</v>
      </c>
      <c r="E116" s="58">
        <f t="shared" si="5"/>
        <v>2.5446362694550185E-2</v>
      </c>
      <c r="F116" s="59">
        <f t="shared" si="3"/>
        <v>325.4844252259914</v>
      </c>
      <c r="G116" s="58">
        <f t="shared" si="0"/>
        <v>-630.74439235671366</v>
      </c>
      <c r="H116" s="58">
        <f t="shared" si="1"/>
        <v>-547.00618741368135</v>
      </c>
      <c r="I116" s="58">
        <f>B116/C98</f>
        <v>1.1648815573450082E-2</v>
      </c>
    </row>
    <row r="117" spans="1:9" ht="15" customHeight="1" x14ac:dyDescent="0.2">
      <c r="A117" s="57">
        <v>11</v>
      </c>
      <c r="B117" s="58">
        <v>136</v>
      </c>
      <c r="C117" s="58">
        <f t="shared" si="4"/>
        <v>6.3118235859647015E-3</v>
      </c>
      <c r="D117" s="59">
        <f t="shared" ref="D117:D136" si="6">C117*$C$98</f>
        <v>80.734535488074499</v>
      </c>
      <c r="E117" s="58">
        <f t="shared" si="5"/>
        <v>2.1067951134745532E-2</v>
      </c>
      <c r="F117" s="59">
        <f t="shared" si="3"/>
        <v>269.48016296453011</v>
      </c>
      <c r="G117" s="58">
        <f t="shared" si="0"/>
        <v>-688.88496769562801</v>
      </c>
      <c r="H117" s="58">
        <f t="shared" si="1"/>
        <v>-524.96031236073418</v>
      </c>
      <c r="I117" s="58">
        <f>B117/C98</f>
        <v>1.0632475959659136E-2</v>
      </c>
    </row>
    <row r="118" spans="1:9" ht="15" customHeight="1" x14ac:dyDescent="0.2">
      <c r="A118" s="57">
        <v>12</v>
      </c>
      <c r="B118" s="58">
        <v>138</v>
      </c>
      <c r="C118" s="58">
        <f t="shared" si="4"/>
        <v>2.5175002720424842E-3</v>
      </c>
      <c r="D118" s="59">
        <f t="shared" si="6"/>
        <v>32.201345979695418</v>
      </c>
      <c r="E118" s="58">
        <f t="shared" si="5"/>
        <v>1.744720890586398E-2</v>
      </c>
      <c r="F118" s="59">
        <f t="shared" si="3"/>
        <v>223.16724911490616</v>
      </c>
      <c r="G118" s="58">
        <f t="shared" si="0"/>
        <v>-825.85945789291702</v>
      </c>
      <c r="H118" s="58">
        <f t="shared" si="1"/>
        <v>-558.70343158764024</v>
      </c>
      <c r="I118" s="58">
        <f>B118/C98</f>
        <v>1.0788835900242358E-2</v>
      </c>
    </row>
    <row r="119" spans="1:9" ht="15" customHeight="1" x14ac:dyDescent="0.2">
      <c r="A119" s="57">
        <v>13</v>
      </c>
      <c r="B119" s="58">
        <v>99</v>
      </c>
      <c r="C119" s="58">
        <f t="shared" si="4"/>
        <v>9.2687697572639983E-4</v>
      </c>
      <c r="D119" s="59">
        <f t="shared" si="6"/>
        <v>11.85568339651638</v>
      </c>
      <c r="E119" s="58">
        <f t="shared" si="5"/>
        <v>1.4451741894640553E-2</v>
      </c>
      <c r="F119" s="59">
        <f t="shared" si="3"/>
        <v>184.85223057434732</v>
      </c>
      <c r="G119" s="58">
        <f t="shared" si="0"/>
        <v>-691.38528163399803</v>
      </c>
      <c r="H119" s="58">
        <f t="shared" si="1"/>
        <v>-419.45709220934464</v>
      </c>
      <c r="I119" s="58">
        <f>B119/C98</f>
        <v>7.7398170588695173E-3</v>
      </c>
    </row>
    <row r="120" spans="1:9" ht="15" customHeight="1" x14ac:dyDescent="0.2">
      <c r="A120" s="57">
        <v>14</v>
      </c>
      <c r="B120" s="58">
        <v>89</v>
      </c>
      <c r="C120" s="58">
        <f t="shared" si="4"/>
        <v>3.1687646074218443E-4</v>
      </c>
      <c r="D120" s="59">
        <f t="shared" si="6"/>
        <v>4.0531668093532813</v>
      </c>
      <c r="E120" s="58">
        <f t="shared" si="5"/>
        <v>1.1972698716855662E-2</v>
      </c>
      <c r="F120" s="59">
        <f t="shared" si="3"/>
        <v>153.14278928730079</v>
      </c>
      <c r="G120" s="58">
        <f t="shared" si="0"/>
        <v>-717.07287306750436</v>
      </c>
      <c r="H120" s="58">
        <f t="shared" si="1"/>
        <v>-393.83624320185339</v>
      </c>
      <c r="I120" s="58">
        <f>B120/C98</f>
        <v>6.9580173559534051E-3</v>
      </c>
    </row>
    <row r="121" spans="1:9" ht="15" customHeight="1" x14ac:dyDescent="0.2">
      <c r="A121" s="57">
        <v>15</v>
      </c>
      <c r="B121" s="58">
        <v>93</v>
      </c>
      <c r="C121" s="58">
        <f t="shared" si="4"/>
        <v>1.0111012327989614E-4</v>
      </c>
      <c r="D121" s="59">
        <f t="shared" si="6"/>
        <v>1.2932995868731516</v>
      </c>
      <c r="E121" s="58">
        <f t="shared" si="5"/>
        <v>9.9204454328246632E-3</v>
      </c>
      <c r="F121" s="59">
        <f t="shared" si="3"/>
        <v>126.89241753126026</v>
      </c>
      <c r="G121" s="58">
        <f t="shared" si="0"/>
        <v>-855.53492842048297</v>
      </c>
      <c r="H121" s="58">
        <f t="shared" si="1"/>
        <v>-429.02364342575896</v>
      </c>
      <c r="I121" s="58">
        <f>B121/C98</f>
        <v>7.27073723711985E-3</v>
      </c>
    </row>
    <row r="122" spans="1:9" ht="15" customHeight="1" x14ac:dyDescent="0.2">
      <c r="A122" s="57">
        <v>16</v>
      </c>
      <c r="B122" s="58">
        <v>70</v>
      </c>
      <c r="C122" s="58">
        <f t="shared" si="4"/>
        <v>3.0246183143023033E-5</v>
      </c>
      <c r="D122" s="59">
        <f t="shared" si="6"/>
        <v>0.38687892858240763</v>
      </c>
      <c r="E122" s="58">
        <f t="shared" si="5"/>
        <v>8.2210849580261688E-3</v>
      </c>
      <c r="F122" s="59">
        <f t="shared" si="3"/>
        <v>105.15589769811272</v>
      </c>
      <c r="G122" s="58">
        <f t="shared" si="0"/>
        <v>-728.42983909769998</v>
      </c>
      <c r="H122" s="58">
        <f t="shared" si="1"/>
        <v>-336.07371620175161</v>
      </c>
      <c r="I122" s="58">
        <f>B122/C98</f>
        <v>5.4725979204127903E-3</v>
      </c>
    </row>
    <row r="123" spans="1:9" ht="15" customHeight="1" x14ac:dyDescent="0.2">
      <c r="A123" s="57">
        <v>17</v>
      </c>
      <c r="B123" s="58">
        <v>54</v>
      </c>
      <c r="C123" s="58">
        <f t="shared" si="4"/>
        <v>8.5156455513252107E-6</v>
      </c>
      <c r="D123" s="59">
        <f t="shared" si="6"/>
        <v>0.10892362224700076</v>
      </c>
      <c r="E123" s="58">
        <f t="shared" si="5"/>
        <v>6.8136373583775837E-3</v>
      </c>
      <c r="F123" s="59">
        <f t="shared" si="3"/>
        <v>87.153235451007674</v>
      </c>
      <c r="G123" s="58">
        <f t="shared" si="0"/>
        <v>-630.37469339803715</v>
      </c>
      <c r="H123" s="58">
        <f t="shared" si="1"/>
        <v>-269.39677578691703</v>
      </c>
      <c r="I123" s="58">
        <f>B123/C98</f>
        <v>4.22171839574701E-3</v>
      </c>
    </row>
    <row r="124" spans="1:9" ht="15" customHeight="1" x14ac:dyDescent="0.2">
      <c r="A124" s="57">
        <v>18</v>
      </c>
      <c r="B124" s="58">
        <v>62</v>
      </c>
      <c r="C124" s="58">
        <f t="shared" si="4"/>
        <v>2.2643366268716754E-6</v>
      </c>
      <c r="D124" s="59">
        <f t="shared" si="6"/>
        <v>2.89631297943156E-2</v>
      </c>
      <c r="E124" s="58">
        <f t="shared" si="5"/>
        <v>5.6477444364994222E-3</v>
      </c>
      <c r="F124" s="59">
        <f t="shared" si="3"/>
        <v>72.240299087264106</v>
      </c>
      <c r="G124" s="58">
        <f t="shared" si="0"/>
        <v>-805.89018075751142</v>
      </c>
      <c r="H124" s="58">
        <f t="shared" si="1"/>
        <v>-320.94293975522527</v>
      </c>
      <c r="I124" s="58">
        <f>B124/C98</f>
        <v>4.8471581580798997E-3</v>
      </c>
    </row>
    <row r="125" spans="1:9" ht="15" customHeight="1" x14ac:dyDescent="0.2">
      <c r="A125" s="57">
        <v>19</v>
      </c>
      <c r="B125" s="58">
        <v>54</v>
      </c>
      <c r="C125" s="58">
        <f t="shared" si="4"/>
        <v>5.7040498308313358E-7</v>
      </c>
      <c r="D125" s="59">
        <f t="shared" si="6"/>
        <v>7.2960501386163615E-3</v>
      </c>
      <c r="E125" s="58">
        <f t="shared" si="5"/>
        <v>4.6817944028769067E-3</v>
      </c>
      <c r="F125" s="59">
        <f t="shared" si="3"/>
        <v>59.884832207198514</v>
      </c>
      <c r="G125" s="58">
        <f t="shared" si="0"/>
        <v>-776.35363851525506</v>
      </c>
      <c r="H125" s="58">
        <f t="shared" si="1"/>
        <v>-289.6599864485276</v>
      </c>
      <c r="I125" s="58">
        <f>B125/C98</f>
        <v>4.22171839574701E-3</v>
      </c>
    </row>
    <row r="126" spans="1:9" ht="15" customHeight="1" x14ac:dyDescent="0.2">
      <c r="A126" s="57">
        <v>20</v>
      </c>
      <c r="B126" s="58">
        <v>43</v>
      </c>
      <c r="C126" s="58">
        <f t="shared" si="4"/>
        <v>1.3650521252964009E-7</v>
      </c>
      <c r="D126" s="59">
        <f t="shared" si="6"/>
        <v>1.7460381734666264E-3</v>
      </c>
      <c r="E126" s="58">
        <f t="shared" si="5"/>
        <v>3.8813855886388944E-3</v>
      </c>
      <c r="F126" s="59">
        <f t="shared" si="3"/>
        <v>49.6468030642801</v>
      </c>
      <c r="G126" s="58">
        <f t="shared" si="0"/>
        <v>-679.69683054886741</v>
      </c>
      <c r="H126" s="58">
        <f t="shared" si="1"/>
        <v>-238.71721238073661</v>
      </c>
      <c r="I126" s="58">
        <f>B126/C98</f>
        <v>3.3617387225392853E-3</v>
      </c>
    </row>
    <row r="127" spans="1:9" ht="15" customHeight="1" x14ac:dyDescent="0.2">
      <c r="A127" s="57">
        <v>21</v>
      </c>
      <c r="B127" s="58">
        <v>46</v>
      </c>
      <c r="C127" s="58">
        <f t="shared" si="4"/>
        <v>3.1111851771807915E-8</v>
      </c>
      <c r="D127" s="59">
        <f t="shared" si="6"/>
        <v>3.9795169601319506E-4</v>
      </c>
      <c r="E127" s="58">
        <f t="shared" si="5"/>
        <v>3.2180652703707189E-3</v>
      </c>
      <c r="F127" s="59">
        <f t="shared" si="3"/>
        <v>41.162272873311863</v>
      </c>
      <c r="G127" s="58">
        <f t="shared" si="0"/>
        <v>-795.14114220450654</v>
      </c>
      <c r="H127" s="58">
        <f t="shared" si="1"/>
        <v>-263.99284759503263</v>
      </c>
      <c r="I127" s="58">
        <f>B127/C98</f>
        <v>3.5962786334141194E-3</v>
      </c>
    </row>
    <row r="128" spans="1:9" ht="15" customHeight="1" x14ac:dyDescent="0.2">
      <c r="A128" s="57">
        <v>22</v>
      </c>
      <c r="B128" s="58">
        <v>44</v>
      </c>
      <c r="C128" s="58">
        <f t="shared" si="4"/>
        <v>6.7686039094315336E-9</v>
      </c>
      <c r="D128" s="59">
        <f t="shared" si="6"/>
        <v>8.6577212605538746E-5</v>
      </c>
      <c r="E128" s="58">
        <f t="shared" si="5"/>
        <v>2.668292642808108E-3</v>
      </c>
      <c r="F128" s="59">
        <f t="shared" si="3"/>
        <v>34.130131194158508</v>
      </c>
      <c r="G128" s="58">
        <f t="shared" si="0"/>
        <v>-827.68272349427741</v>
      </c>
      <c r="H128" s="58">
        <f t="shared" si="1"/>
        <v>-260.75792471229232</v>
      </c>
      <c r="I128" s="58">
        <f>B128/C98</f>
        <v>3.4399186928308965E-3</v>
      </c>
    </row>
    <row r="129" spans="1:9" ht="15" customHeight="1" x14ac:dyDescent="0.2">
      <c r="A129" s="57">
        <v>23</v>
      </c>
      <c r="B129" s="58">
        <v>21</v>
      </c>
      <c r="C129" s="58">
        <f t="shared" si="4"/>
        <v>1.4085335135074863E-9</v>
      </c>
      <c r="D129" s="59">
        <f t="shared" si="6"/>
        <v>1.8016552171274258E-5</v>
      </c>
      <c r="E129" s="58">
        <f t="shared" si="5"/>
        <v>2.2125849882728872E-3</v>
      </c>
      <c r="F129" s="59">
        <f t="shared" si="3"/>
        <v>28.301174584998499</v>
      </c>
      <c r="G129" s="58">
        <f t="shared" si="0"/>
        <v>-427.99505143789071</v>
      </c>
      <c r="H129" s="58">
        <f t="shared" si="1"/>
        <v>-128.38546914986594</v>
      </c>
      <c r="I129" s="58">
        <f>B129/C98</f>
        <v>1.641779376123837E-3</v>
      </c>
    </row>
    <row r="130" spans="1:9" ht="15" customHeight="1" x14ac:dyDescent="0.2">
      <c r="A130" s="57">
        <v>24</v>
      </c>
      <c r="B130" s="58">
        <v>24</v>
      </c>
      <c r="C130" s="58">
        <f t="shared" si="4"/>
        <v>2.8090008023363373E-10</v>
      </c>
      <c r="D130" s="59">
        <f t="shared" si="6"/>
        <v>3.5929929262684092E-6</v>
      </c>
      <c r="E130" s="58">
        <f t="shared" si="5"/>
        <v>1.8348139388796422E-3</v>
      </c>
      <c r="F130" s="59">
        <f t="shared" si="3"/>
        <v>23.469105092209503</v>
      </c>
      <c r="G130" s="58">
        <f t="shared" si="0"/>
        <v>-527.8325303085071</v>
      </c>
      <c r="H130" s="58">
        <f t="shared" si="1"/>
        <v>-151.2194927597379</v>
      </c>
      <c r="I130" s="58">
        <f>B130/C98</f>
        <v>1.8763192869986709E-3</v>
      </c>
    </row>
    <row r="131" spans="1:9" ht="15" customHeight="1" x14ac:dyDescent="0.2">
      <c r="A131" s="57">
        <v>25</v>
      </c>
      <c r="B131" s="58">
        <v>22</v>
      </c>
      <c r="C131" s="58">
        <f t="shared" si="4"/>
        <v>5.3778387341046961E-11</v>
      </c>
      <c r="D131" s="59">
        <f t="shared" si="6"/>
        <v>6.8787935247933168E-7</v>
      </c>
      <c r="E131" s="58">
        <f t="shared" si="5"/>
        <v>1.5216249468562738E-3</v>
      </c>
      <c r="F131" s="59">
        <f t="shared" si="3"/>
        <v>19.463104695238599</v>
      </c>
      <c r="G131" s="58">
        <f t="shared" si="0"/>
        <v>-520.21528793868026</v>
      </c>
      <c r="H131" s="58">
        <f t="shared" si="1"/>
        <v>-142.73548236552338</v>
      </c>
      <c r="I131" s="58">
        <f>B131/C98</f>
        <v>1.7199593464154483E-3</v>
      </c>
    </row>
    <row r="132" spans="1:9" ht="15" customHeight="1" x14ac:dyDescent="0.2">
      <c r="A132" s="57">
        <v>26</v>
      </c>
      <c r="B132" s="58">
        <v>35</v>
      </c>
      <c r="C132" s="58">
        <f t="shared" si="4"/>
        <v>9.899889499847358E-12</v>
      </c>
      <c r="D132" s="59">
        <f t="shared" si="6"/>
        <v>1.2662948659254757E-7</v>
      </c>
      <c r="E132" s="58">
        <f t="shared" si="5"/>
        <v>1.2619580503348141E-3</v>
      </c>
      <c r="F132" s="59">
        <f t="shared" si="3"/>
        <v>16.141705421832608</v>
      </c>
      <c r="G132" s="58">
        <f t="shared" si="0"/>
        <v>-886.84741321686568</v>
      </c>
      <c r="H132" s="58">
        <f t="shared" si="1"/>
        <v>-233.62817646132206</v>
      </c>
      <c r="I132" s="58">
        <f>B132/C98</f>
        <v>2.7362989602063952E-3</v>
      </c>
    </row>
    <row r="133" spans="1:9" ht="15" customHeight="1" x14ac:dyDescent="0.2">
      <c r="A133" s="57">
        <v>27</v>
      </c>
      <c r="B133" s="58">
        <v>21</v>
      </c>
      <c r="C133" s="58">
        <f t="shared" si="4"/>
        <v>1.754940930892251E-12</v>
      </c>
      <c r="D133" s="59">
        <f t="shared" si="6"/>
        <v>2.2447449447042781E-8</v>
      </c>
      <c r="E133" s="58">
        <f t="shared" si="5"/>
        <v>1.0466520236251172E-3</v>
      </c>
      <c r="F133" s="59">
        <f t="shared" si="3"/>
        <v>13.387726034188875</v>
      </c>
      <c r="G133" s="58">
        <f t="shared" si="0"/>
        <v>-568.4403042609564</v>
      </c>
      <c r="H133" s="58">
        <f t="shared" si="1"/>
        <v>-144.10533391789571</v>
      </c>
      <c r="I133" s="58">
        <f>B133/C98</f>
        <v>1.641779376123837E-3</v>
      </c>
    </row>
    <row r="134" spans="1:9" ht="15" customHeight="1" x14ac:dyDescent="0.2">
      <c r="A134" s="57">
        <v>28</v>
      </c>
      <c r="B134" s="58">
        <v>21</v>
      </c>
      <c r="C134" s="58">
        <f t="shared" si="4"/>
        <v>2.9998558900274331E-13</v>
      </c>
      <c r="D134" s="59">
        <f t="shared" si="6"/>
        <v>3.8371156689340901E-9</v>
      </c>
      <c r="E134" s="58">
        <f t="shared" si="5"/>
        <v>8.681172386350752E-4</v>
      </c>
      <c r="F134" s="59">
        <f t="shared" si="3"/>
        <v>11.104087599381247</v>
      </c>
      <c r="G134" s="58">
        <f t="shared" si="0"/>
        <v>-605.53588111938188</v>
      </c>
      <c r="H134" s="58">
        <f t="shared" si="1"/>
        <v>-148.03285948232869</v>
      </c>
      <c r="I134" s="58">
        <f>B134/C98</f>
        <v>1.641779376123837E-3</v>
      </c>
    </row>
    <row r="135" spans="1:9" ht="15" customHeight="1" x14ac:dyDescent="0.2">
      <c r="A135" s="57">
        <v>29</v>
      </c>
      <c r="B135" s="58">
        <v>19</v>
      </c>
      <c r="C135" s="58">
        <f t="shared" si="4"/>
        <v>4.9510614263630813E-14</v>
      </c>
      <c r="D135" s="59">
        <f t="shared" si="6"/>
        <v>6.3329026704610169E-10</v>
      </c>
      <c r="E135" s="58">
        <f t="shared" si="5"/>
        <v>7.2006519450500594E-4</v>
      </c>
      <c r="F135" s="59">
        <f t="shared" si="3"/>
        <v>9.2103539029135302</v>
      </c>
      <c r="G135" s="58">
        <f t="shared" si="0"/>
        <v>-582.095197056335</v>
      </c>
      <c r="H135" s="58">
        <f t="shared" si="1"/>
        <v>-137.48720724046564</v>
      </c>
      <c r="I135" s="58">
        <f>B135/C98</f>
        <v>1.4854194355406144E-3</v>
      </c>
    </row>
    <row r="136" spans="1:9" ht="15" customHeight="1" x14ac:dyDescent="0.2">
      <c r="A136" s="57">
        <v>30</v>
      </c>
      <c r="B136" s="58">
        <v>14</v>
      </c>
      <c r="C136" s="58">
        <f t="shared" si="4"/>
        <v>7.8990157554367444E-15</v>
      </c>
      <c r="D136" s="59">
        <f t="shared" si="6"/>
        <v>1.010363105277914E-10</v>
      </c>
      <c r="E136" s="58">
        <f t="shared" si="5"/>
        <v>5.9728481665245704E-4</v>
      </c>
      <c r="F136" s="59">
        <f t="shared" si="3"/>
        <v>7.6398700898015779</v>
      </c>
      <c r="G136" s="58">
        <f t="shared" si="0"/>
        <v>-454.60853523566362</v>
      </c>
      <c r="H136" s="58">
        <f t="shared" si="1"/>
        <v>-103.92363069925489</v>
      </c>
      <c r="I136" s="58">
        <f>B136/C98</f>
        <v>1.0945195840825581E-3</v>
      </c>
    </row>
    <row r="137" spans="1:9" ht="15" customHeight="1" x14ac:dyDescent="0.2">
      <c r="A137" s="57">
        <v>31</v>
      </c>
      <c r="B137" s="58">
        <v>22</v>
      </c>
      <c r="C137" s="58">
        <f t="shared" si="4"/>
        <v>1.2195713305564976E-15</v>
      </c>
      <c r="D137" s="59">
        <f>C137*$C$98</f>
        <v>1.559953688914816E-11</v>
      </c>
      <c r="E137" s="58">
        <f t="shared" si="5"/>
        <v>4.9545737882682899E-4</v>
      </c>
      <c r="F137" s="59">
        <f t="shared" si="3"/>
        <v>6.33739533257397</v>
      </c>
      <c r="G137" s="58">
        <f t="shared" si="0"/>
        <v>-755.48609325873576</v>
      </c>
      <c r="H137" s="58">
        <f t="shared" si="1"/>
        <v>-167.42064293655048</v>
      </c>
      <c r="I137" s="58">
        <f>B137/C98</f>
        <v>1.7199593464154483E-3</v>
      </c>
    </row>
    <row r="138" spans="1:9" ht="15" customHeight="1" x14ac:dyDescent="0.2">
      <c r="A138" s="57">
        <v>32</v>
      </c>
      <c r="B138" s="58">
        <v>11</v>
      </c>
      <c r="C138" s="58">
        <f t="shared" si="4"/>
        <v>1.8241189221913684E-16</v>
      </c>
      <c r="D138" s="59">
        <f t="shared" ref="D138:D145" si="7">C138*$C$98</f>
        <v>2.3332305133749794E-12</v>
      </c>
      <c r="E138" s="58">
        <f t="shared" si="5"/>
        <v>4.1100333711220063E-4</v>
      </c>
      <c r="F138" s="59">
        <f t="shared" si="3"/>
        <v>5.2571436850021582</v>
      </c>
      <c r="G138" s="58">
        <f t="shared" si="0"/>
        <v>-398.64290839788907</v>
      </c>
      <c r="H138" s="58">
        <f t="shared" si="1"/>
        <v>-85.766001464072559</v>
      </c>
      <c r="I138" s="58">
        <f>B138/C98</f>
        <v>8.5997967320772413E-4</v>
      </c>
    </row>
    <row r="139" spans="1:9" ht="15" customHeight="1" x14ac:dyDescent="0.2">
      <c r="A139" s="57">
        <v>33</v>
      </c>
      <c r="B139" s="58">
        <v>8</v>
      </c>
      <c r="C139" s="58">
        <f t="shared" si="4"/>
        <v>2.6456666864598871E-17</v>
      </c>
      <c r="D139" s="59">
        <f t="shared" si="7"/>
        <v>3.3840722586508414E-13</v>
      </c>
      <c r="E139" s="58">
        <f t="shared" si="5"/>
        <v>3.4095554253760907E-4</v>
      </c>
      <c r="F139" s="59">
        <f t="shared" si="3"/>
        <v>4.3611623445985579</v>
      </c>
      <c r="G139" s="58">
        <f t="shared" ref="G139:G170" si="8">IF(C139&gt;0, B139*LN(C139), 0)</f>
        <v>-305.36818793581421</v>
      </c>
      <c r="H139" s="58">
        <f t="shared" ref="H139:H166" si="9">IF(E139&gt;0, B139*LN(E139), 0)</f>
        <v>-63.870067703761293</v>
      </c>
      <c r="I139" s="58">
        <f>B139/C98</f>
        <v>6.2543976233289027E-4</v>
      </c>
    </row>
    <row r="140" spans="1:9" ht="15" customHeight="1" x14ac:dyDescent="0.2">
      <c r="A140" s="57">
        <v>34</v>
      </c>
      <c r="B140" s="58">
        <v>17</v>
      </c>
      <c r="C140" s="58">
        <f t="shared" si="4"/>
        <v>3.7243641027873632E-18</v>
      </c>
      <c r="D140" s="59">
        <f t="shared" si="7"/>
        <v>4.7638341238753166E-14</v>
      </c>
      <c r="E140" s="58">
        <f t="shared" si="5"/>
        <v>2.8285426670596235E-4</v>
      </c>
      <c r="F140" s="59">
        <f t="shared" si="3"/>
        <v>3.6179889254359643</v>
      </c>
      <c r="G140" s="58">
        <f t="shared" si="8"/>
        <v>-682.23780430401723</v>
      </c>
      <c r="H140" s="58">
        <f t="shared" si="9"/>
        <v>-138.8998387770971</v>
      </c>
      <c r="I140" s="58">
        <f>B140/C98</f>
        <v>1.329059494957392E-3</v>
      </c>
    </row>
    <row r="141" spans="1:9" ht="15" customHeight="1" x14ac:dyDescent="0.2">
      <c r="A141" s="57">
        <v>35</v>
      </c>
      <c r="B141" s="58">
        <v>9</v>
      </c>
      <c r="C141" s="58">
        <f t="shared" si="4"/>
        <v>5.093074253922851E-19</v>
      </c>
      <c r="D141" s="59">
        <f t="shared" si="7"/>
        <v>6.5145512781927188E-15</v>
      </c>
      <c r="E141" s="58">
        <f t="shared" si="5"/>
        <v>2.3466027103669944E-4</v>
      </c>
      <c r="F141" s="59">
        <f t="shared" si="3"/>
        <v>3.0015395268304226</v>
      </c>
      <c r="G141" s="58">
        <f t="shared" si="8"/>
        <v>-379.09111625538071</v>
      </c>
      <c r="H141" s="58">
        <f t="shared" si="9"/>
        <v>-75.216345704556431</v>
      </c>
      <c r="I141" s="58">
        <f>B141/C98</f>
        <v>7.0361973262450159E-4</v>
      </c>
    </row>
    <row r="142" spans="1:9" ht="15" customHeight="1" x14ac:dyDescent="0.2">
      <c r="A142" s="57">
        <v>36</v>
      </c>
      <c r="B142" s="58">
        <v>12</v>
      </c>
      <c r="C142" s="58">
        <f t="shared" si="4"/>
        <v>6.7713213913300783E-20</v>
      </c>
      <c r="D142" s="59">
        <f t="shared" si="7"/>
        <v>8.6611971916503029E-16</v>
      </c>
      <c r="E142" s="58">
        <f t="shared" si="5"/>
        <v>1.9468280591789912E-4</v>
      </c>
      <c r="F142" s="59">
        <f t="shared" si="3"/>
        <v>2.4901877704958477</v>
      </c>
      <c r="G142" s="58">
        <f t="shared" si="8"/>
        <v>-529.6680673037406</v>
      </c>
      <c r="H142" s="58">
        <f t="shared" si="9"/>
        <v>-102.52966752153918</v>
      </c>
      <c r="I142" s="58">
        <f>B142/C98</f>
        <v>9.3815964349933546E-4</v>
      </c>
    </row>
    <row r="143" spans="1:9" ht="15" customHeight="1" x14ac:dyDescent="0.2">
      <c r="A143" s="57">
        <v>37</v>
      </c>
      <c r="B143" s="58">
        <v>10</v>
      </c>
      <c r="C143" s="58">
        <f t="shared" si="4"/>
        <v>8.7592641552996245E-21</v>
      </c>
      <c r="D143" s="59">
        <f t="shared" si="7"/>
        <v>1.1203974781043749E-16</v>
      </c>
      <c r="E143" s="58">
        <f>(($B$101 + A143 - 1)/(A143*($B$102+1))) * E142</f>
        <v>1.6151996653409473E-4</v>
      </c>
      <c r="F143" s="59">
        <f t="shared" si="3"/>
        <v>2.0660018919376055</v>
      </c>
      <c r="G143" s="58">
        <f t="shared" si="8"/>
        <v>-461.84175051991474</v>
      </c>
      <c r="H143" s="58">
        <f t="shared" si="9"/>
        <v>-87.308817911532827</v>
      </c>
      <c r="I143" s="58">
        <f>B143/C98</f>
        <v>7.8179970291611292E-4</v>
      </c>
    </row>
    <row r="144" spans="1:9" ht="15" customHeight="1" x14ac:dyDescent="0.2">
      <c r="A144" s="57">
        <v>38</v>
      </c>
      <c r="B144" s="58">
        <v>11</v>
      </c>
      <c r="C144" s="58">
        <f t="shared" si="4"/>
        <v>1.1032652705059858E-21</v>
      </c>
      <c r="D144" s="59">
        <f t="shared" si="7"/>
        <v>1.4111866075042065E-17</v>
      </c>
      <c r="E144" s="58">
        <f t="shared" si="5"/>
        <v>1.3400927795358152E-4</v>
      </c>
      <c r="F144" s="59">
        <f t="shared" si="3"/>
        <v>1.7141126743042612</v>
      </c>
      <c r="G144" s="58">
        <f t="shared" si="8"/>
        <v>-530.81614016662058</v>
      </c>
      <c r="H144" s="58">
        <f t="shared" si="9"/>
        <v>-98.093616741457382</v>
      </c>
      <c r="I144" s="58">
        <f>B144/C98</f>
        <v>8.5997967320772413E-4</v>
      </c>
    </row>
    <row r="145" spans="1:9" ht="15" customHeight="1" x14ac:dyDescent="0.2">
      <c r="A145" s="57">
        <v>39</v>
      </c>
      <c r="B145" s="58">
        <v>4</v>
      </c>
      <c r="C145" s="58">
        <f t="shared" si="4"/>
        <v>1.3539769173767403E-22</v>
      </c>
      <c r="D145" s="59">
        <f t="shared" si="7"/>
        <v>1.7318718750165885E-18</v>
      </c>
      <c r="E145" s="58">
        <f t="shared" si="5"/>
        <v>1.1118675003144158E-4</v>
      </c>
      <c r="F145" s="59">
        <f t="shared" si="3"/>
        <v>1.4221897196521693</v>
      </c>
      <c r="G145" s="58">
        <f t="shared" si="8"/>
        <v>-201.41530367700761</v>
      </c>
      <c r="H145" s="58">
        <f t="shared" si="9"/>
        <v>-36.417197350563008</v>
      </c>
      <c r="I145" s="58">
        <f>B145/C98</f>
        <v>3.1271988116644513E-4</v>
      </c>
    </row>
    <row r="146" spans="1:9" ht="15" customHeight="1" x14ac:dyDescent="0.2">
      <c r="A146" s="57">
        <v>40</v>
      </c>
      <c r="B146" s="58">
        <v>8</v>
      </c>
      <c r="C146" s="58">
        <f t="shared" si="4"/>
        <v>1.6201200230381014E-23</v>
      </c>
      <c r="D146" s="59">
        <f>C146*$C$98</f>
        <v>2.0722955214680356E-19</v>
      </c>
      <c r="E146" s="58">
        <f t="shared" si="5"/>
        <v>9.2252946569243503E-5</v>
      </c>
      <c r="F146" s="59">
        <f t="shared" si="3"/>
        <v>1.1800074395671936</v>
      </c>
      <c r="G146" s="58">
        <f t="shared" si="8"/>
        <v>-419.81565523254426</v>
      </c>
      <c r="H146" s="58">
        <f t="shared" si="9"/>
        <v>-74.32781067538987</v>
      </c>
      <c r="I146" s="58">
        <f>B146/C98</f>
        <v>6.2543976233289027E-4</v>
      </c>
    </row>
    <row r="147" spans="1:9" ht="15" customHeight="1" x14ac:dyDescent="0.2">
      <c r="A147" s="57">
        <v>41</v>
      </c>
      <c r="B147" s="58">
        <v>5</v>
      </c>
      <c r="C147" s="58">
        <f t="shared" si="4"/>
        <v>1.8912949068688848E-24</v>
      </c>
      <c r="D147" s="59">
        <f t="shared" ref="D147:D158" si="10">C147*$C$98</f>
        <v>2.4191553153759906E-20</v>
      </c>
      <c r="E147" s="58">
        <f t="shared" si="5"/>
        <v>7.6544864249242963E-5</v>
      </c>
      <c r="F147" s="59">
        <f t="shared" si="3"/>
        <v>0.97908535861206669</v>
      </c>
      <c r="G147" s="58">
        <f t="shared" si="8"/>
        <v>-273.12390250737269</v>
      </c>
      <c r="H147" s="58">
        <f t="shared" si="9"/>
        <v>-47.388167641291403</v>
      </c>
      <c r="I147" s="58">
        <f>B147/C98</f>
        <v>3.9089985145805646E-4</v>
      </c>
    </row>
    <row r="148" spans="1:9" ht="15" customHeight="1" x14ac:dyDescent="0.2">
      <c r="A148" s="57">
        <v>42</v>
      </c>
      <c r="B148" s="58">
        <v>9</v>
      </c>
      <c r="C148" s="58">
        <f t="shared" si="4"/>
        <v>2.155290838674142E-25</v>
      </c>
      <c r="D148" s="59">
        <f t="shared" si="10"/>
        <v>2.7568325117480951E-21</v>
      </c>
      <c r="E148" s="58">
        <f t="shared" si="5"/>
        <v>6.351262439176042E-5</v>
      </c>
      <c r="F148" s="59">
        <f t="shared" si="3"/>
        <v>0.8123899785950075</v>
      </c>
      <c r="G148" s="58">
        <f t="shared" si="8"/>
        <v>-511.170314854141</v>
      </c>
      <c r="H148" s="58">
        <f t="shared" si="9"/>
        <v>-86.97844676255869</v>
      </c>
      <c r="I148" s="58">
        <f>B148/C98</f>
        <v>7.0361973262450159E-4</v>
      </c>
    </row>
    <row r="149" spans="1:9" ht="15" customHeight="1" x14ac:dyDescent="0.2">
      <c r="A149" s="57">
        <v>43</v>
      </c>
      <c r="B149" s="58">
        <v>13</v>
      </c>
      <c r="C149" s="58">
        <f t="shared" si="4"/>
        <v>2.3990171220402001E-26</v>
      </c>
      <c r="D149" s="59">
        <f t="shared" si="10"/>
        <v>3.0685828008016201E-22</v>
      </c>
      <c r="E149" s="58">
        <f t="shared" si="5"/>
        <v>5.2700152183443006E-5</v>
      </c>
      <c r="F149" s="59">
        <f t="shared" si="3"/>
        <v>0.67408764657841946</v>
      </c>
      <c r="G149" s="58">
        <f t="shared" si="8"/>
        <v>-766.89799285912625</v>
      </c>
      <c r="H149" s="58">
        <f t="shared" si="9"/>
        <v>-128.06159879096688</v>
      </c>
      <c r="I149" s="58">
        <f>B149/C98</f>
        <v>1.0163396137909467E-3</v>
      </c>
    </row>
    <row r="150" spans="1:9" ht="15" customHeight="1" x14ac:dyDescent="0.2">
      <c r="A150" s="57">
        <v>44</v>
      </c>
      <c r="B150" s="58">
        <v>10</v>
      </c>
      <c r="C150" s="58">
        <f t="shared" si="4"/>
        <v>2.6096159094182538E-27</v>
      </c>
      <c r="D150" s="59">
        <f t="shared" si="10"/>
        <v>3.3379597097368887E-23</v>
      </c>
      <c r="E150" s="58">
        <f t="shared" si="5"/>
        <v>4.3729159957533019E-5</v>
      </c>
      <c r="F150" s="59">
        <f t="shared" si="3"/>
        <v>0.55933968501680487</v>
      </c>
      <c r="G150" s="58">
        <f t="shared" si="8"/>
        <v>-612.1059446147633</v>
      </c>
      <c r="H150" s="58">
        <f t="shared" si="9"/>
        <v>-100.3749540247623</v>
      </c>
      <c r="I150" s="58">
        <f>B150/C98</f>
        <v>7.8179970291611292E-4</v>
      </c>
    </row>
    <row r="151" spans="1:9" ht="15" customHeight="1" x14ac:dyDescent="0.2">
      <c r="A151" s="57">
        <v>45</v>
      </c>
      <c r="B151" s="58">
        <v>4</v>
      </c>
      <c r="C151" s="58">
        <f t="shared" si="4"/>
        <v>2.7756199339899571E-28</v>
      </c>
      <c r="D151" s="59">
        <f t="shared" si="10"/>
        <v>3.550295457566554E-24</v>
      </c>
      <c r="E151" s="58">
        <f t="shared" si="5"/>
        <v>3.6285868536533149E-5</v>
      </c>
      <c r="F151" s="59">
        <f t="shared" si="3"/>
        <v>0.46413254445079549</v>
      </c>
      <c r="G151" s="58">
        <f t="shared" si="8"/>
        <v>-253.80603392779537</v>
      </c>
      <c r="H151" s="58">
        <f t="shared" si="9"/>
        <v>-40.896328756013069</v>
      </c>
      <c r="I151" s="58">
        <f>B151/C98</f>
        <v>3.1271988116644513E-4</v>
      </c>
    </row>
    <row r="152" spans="1:9" ht="15" customHeight="1" x14ac:dyDescent="0.2">
      <c r="A152" s="57">
        <v>46</v>
      </c>
      <c r="B152" s="58">
        <v>4</v>
      </c>
      <c r="C152" s="58">
        <f t="shared" si="4"/>
        <v>2.8880059685104534E-29</v>
      </c>
      <c r="D152" s="59">
        <f t="shared" si="10"/>
        <v>3.6940484343217208E-25</v>
      </c>
      <c r="E152" s="58">
        <f t="shared" si="5"/>
        <v>3.0109997827557966E-5</v>
      </c>
      <c r="F152" s="59">
        <f t="shared" si="3"/>
        <v>0.38513698221229392</v>
      </c>
      <c r="G152" s="58">
        <f t="shared" si="8"/>
        <v>-262.85760563656055</v>
      </c>
      <c r="H152" s="58">
        <f t="shared" si="9"/>
        <v>-41.642613150483271</v>
      </c>
      <c r="I152" s="58">
        <f>B152/C98</f>
        <v>3.1271988116644513E-4</v>
      </c>
    </row>
    <row r="153" spans="1:9" ht="15" customHeight="1" x14ac:dyDescent="0.2">
      <c r="A153" s="57">
        <v>47</v>
      </c>
      <c r="B153" s="58">
        <v>4</v>
      </c>
      <c r="C153" s="58">
        <f t="shared" si="4"/>
        <v>2.9410076133680843E-30</v>
      </c>
      <c r="D153" s="59">
        <f t="shared" si="10"/>
        <v>3.7618428382591168E-26</v>
      </c>
      <c r="E153" s="58">
        <f t="shared" si="5"/>
        <v>2.4985638300897413E-5</v>
      </c>
      <c r="F153" s="59">
        <f t="shared" si="3"/>
        <v>0.31959129950677884</v>
      </c>
      <c r="G153" s="58">
        <f t="shared" si="8"/>
        <v>-271.99520216620959</v>
      </c>
      <c r="H153" s="58">
        <f t="shared" si="9"/>
        <v>-42.388837464520478</v>
      </c>
      <c r="I153" s="58">
        <f>B153/C98</f>
        <v>3.1271988116644513E-4</v>
      </c>
    </row>
    <row r="154" spans="1:9" ht="15" customHeight="1" x14ac:dyDescent="0.2">
      <c r="A154" s="57">
        <v>48</v>
      </c>
      <c r="B154" s="58">
        <v>10</v>
      </c>
      <c r="C154" s="58">
        <f t="shared" si="4"/>
        <v>2.9325865044759254E-31</v>
      </c>
      <c r="D154" s="59">
        <f t="shared" si="10"/>
        <v>3.7510713978751559E-27</v>
      </c>
      <c r="E154" s="58">
        <f t="shared" si="5"/>
        <v>2.0733681579680214E-5</v>
      </c>
      <c r="F154" s="59">
        <f t="shared" si="3"/>
        <v>0.26520452108568959</v>
      </c>
      <c r="G154" s="58">
        <f t="shared" si="8"/>
        <v>-703.04253083162484</v>
      </c>
      <c r="H154" s="58">
        <f t="shared" si="9"/>
        <v>-107.8375105058071</v>
      </c>
      <c r="I154" s="58">
        <f>B154/C98</f>
        <v>7.8179970291611292E-4</v>
      </c>
    </row>
    <row r="155" spans="1:9" ht="15" customHeight="1" x14ac:dyDescent="0.2">
      <c r="A155" s="57">
        <v>49</v>
      </c>
      <c r="B155" s="58">
        <v>9</v>
      </c>
      <c r="C155" s="58">
        <f t="shared" si="4"/>
        <v>2.8645121711937228E-32</v>
      </c>
      <c r="D155" s="59">
        <f t="shared" si="10"/>
        <v>3.663997518173891E-28</v>
      </c>
      <c r="E155" s="58">
        <f t="shared" si="5"/>
        <v>1.7205543515136362E-5</v>
      </c>
      <c r="F155" s="59">
        <f t="shared" si="3"/>
        <v>0.2200761071021092</v>
      </c>
      <c r="G155" s="58">
        <f t="shared" si="8"/>
        <v>-653.67292420777778</v>
      </c>
      <c r="H155" s="58">
        <f t="shared" si="9"/>
        <v>-98.732510358118788</v>
      </c>
      <c r="I155" s="58">
        <f>B155/C98</f>
        <v>7.0361973262450159E-4</v>
      </c>
    </row>
    <row r="156" spans="1:9" ht="15" customHeight="1" x14ac:dyDescent="0.2">
      <c r="A156" s="57">
        <v>50</v>
      </c>
      <c r="B156" s="58">
        <v>10</v>
      </c>
      <c r="C156" s="58">
        <f t="shared" si="4"/>
        <v>2.7420576910742072E-33</v>
      </c>
      <c r="D156" s="59">
        <f t="shared" si="10"/>
        <v>3.5073659926530182E-29</v>
      </c>
      <c r="E156" s="58">
        <f t="shared" si="5"/>
        <v>1.4277958794080352E-5</v>
      </c>
      <c r="F156" s="59">
        <f t="shared" si="3"/>
        <v>0.18262937093508178</v>
      </c>
      <c r="G156" s="58">
        <f t="shared" si="8"/>
        <v>-749.7659944810564</v>
      </c>
      <c r="H156" s="58">
        <f t="shared" si="9"/>
        <v>-111.56793552860969</v>
      </c>
      <c r="I156" s="58">
        <f>B156/C98</f>
        <v>7.8179970291611292E-4</v>
      </c>
    </row>
    <row r="157" spans="1:9" ht="15" customHeight="1" x14ac:dyDescent="0.2">
      <c r="A157" s="57">
        <v>51</v>
      </c>
      <c r="B157" s="58">
        <v>5</v>
      </c>
      <c r="C157" s="58">
        <f t="shared" si="4"/>
        <v>2.5733705823373672E-34</v>
      </c>
      <c r="D157" s="59">
        <f t="shared" si="10"/>
        <v>3.2915983118677264E-30</v>
      </c>
      <c r="E157" s="58">
        <f t="shared" si="5"/>
        <v>1.1848663956208643E-5</v>
      </c>
      <c r="F157" s="59">
        <f t="shared" si="3"/>
        <v>0.15155626066386474</v>
      </c>
      <c r="G157" s="58">
        <f t="shared" si="8"/>
        <v>-386.71338305766085</v>
      </c>
      <c r="H157" s="58">
        <f t="shared" si="9"/>
        <v>-56.716477215254919</v>
      </c>
      <c r="I157" s="58">
        <f>B157/C98</f>
        <v>3.9089985145805646E-4</v>
      </c>
    </row>
    <row r="158" spans="1:9" ht="15" customHeight="1" x14ac:dyDescent="0.2">
      <c r="A158" s="57">
        <v>53</v>
      </c>
      <c r="B158" s="58">
        <v>2</v>
      </c>
      <c r="C158" s="58">
        <f t="shared" si="4"/>
        <v>2.3239264698391404E-35</v>
      </c>
      <c r="D158" s="59">
        <f t="shared" si="10"/>
        <v>2.9725343475712444E-31</v>
      </c>
      <c r="E158" s="58">
        <f t="shared" si="5"/>
        <v>9.8329328888431639E-6</v>
      </c>
      <c r="F158" s="59">
        <f t="shared" si="3"/>
        <v>0.1257730445811929</v>
      </c>
      <c r="G158" s="58">
        <f t="shared" si="8"/>
        <v>-159.49444011157297</v>
      </c>
      <c r="H158" s="58">
        <f t="shared" si="9"/>
        <v>-23.059546614568625</v>
      </c>
      <c r="I158" s="58">
        <f>B158/C98</f>
        <v>1.5635994058322257E-4</v>
      </c>
    </row>
    <row r="159" spans="1:9" ht="15" customHeight="1" x14ac:dyDescent="0.2">
      <c r="A159" s="57">
        <v>54</v>
      </c>
      <c r="B159" s="58">
        <v>1</v>
      </c>
      <c r="C159" s="58">
        <f t="shared" si="4"/>
        <v>2.059797577724239E-36</v>
      </c>
      <c r="D159" s="59">
        <f>C159*$C$98</f>
        <v>2.6346870816670741E-32</v>
      </c>
      <c r="E159" s="58">
        <f>(($B$101 + A159 - 1)/(A159*($B$102+1))) * E158</f>
        <v>8.1602167558214942E-6</v>
      </c>
      <c r="F159" s="59">
        <f t="shared" si="3"/>
        <v>0.10437733252371273</v>
      </c>
      <c r="G159" s="58">
        <f t="shared" si="8"/>
        <v>-82.170455633052967</v>
      </c>
      <c r="H159" s="58">
        <f t="shared" si="9"/>
        <v>-11.716239826127635</v>
      </c>
      <c r="I159" s="58">
        <f>B159/C98</f>
        <v>7.8179970291611284E-5</v>
      </c>
    </row>
    <row r="160" spans="1:9" ht="15" customHeight="1" x14ac:dyDescent="0.2">
      <c r="A160" s="57">
        <v>55</v>
      </c>
      <c r="B160" s="58">
        <v>2</v>
      </c>
      <c r="C160" s="58">
        <f t="shared" si="4"/>
        <v>1.7924942609626889E-37</v>
      </c>
      <c r="D160" s="59">
        <f t="shared" ref="D160:D167" si="11">C160*$C$98</f>
        <v>2.2927794091973755E-33</v>
      </c>
      <c r="E160" s="58">
        <f t="shared" si="5"/>
        <v>6.7721265118325276E-6</v>
      </c>
      <c r="F160" s="59">
        <f t="shared" si="3"/>
        <v>8.6622270212849864E-2</v>
      </c>
      <c r="G160" s="58">
        <f t="shared" si="8"/>
        <v>-169.22408069797527</v>
      </c>
      <c r="H160" s="58">
        <f t="shared" si="9"/>
        <v>-23.805390824524743</v>
      </c>
      <c r="I160" s="58">
        <f>B160/C98</f>
        <v>1.5635994058322257E-4</v>
      </c>
    </row>
    <row r="161" spans="1:9" ht="15" customHeight="1" x14ac:dyDescent="0.2">
      <c r="A161" s="57">
        <v>56</v>
      </c>
      <c r="B161" s="58">
        <v>2</v>
      </c>
      <c r="C161" s="58">
        <f t="shared" si="4"/>
        <v>1.5320243467839662E-38</v>
      </c>
      <c r="D161" s="59">
        <f t="shared" si="11"/>
        <v>1.9596123419713713E-34</v>
      </c>
      <c r="E161" s="58">
        <f t="shared" si="5"/>
        <v>5.6202160246050336E-6</v>
      </c>
      <c r="F161" s="59">
        <f>E161*$C$98</f>
        <v>7.1888183170722986E-2</v>
      </c>
      <c r="G161" s="58">
        <f t="shared" si="8"/>
        <v>-174.14328714084996</v>
      </c>
      <c r="H161" s="58">
        <f t="shared" si="9"/>
        <v>-24.178280912511191</v>
      </c>
      <c r="I161" s="58">
        <f>B161/C98</f>
        <v>1.5635994058322257E-4</v>
      </c>
    </row>
    <row r="162" spans="1:9" ht="15" customHeight="1" x14ac:dyDescent="0.2">
      <c r="A162" s="57">
        <v>57</v>
      </c>
      <c r="B162" s="58">
        <v>3</v>
      </c>
      <c r="C162" s="58">
        <f t="shared" si="4"/>
        <v>1.2864316951812498E-39</v>
      </c>
      <c r="D162" s="59">
        <f t="shared" si="11"/>
        <v>1.6454747813063366E-35</v>
      </c>
      <c r="E162" s="58">
        <f t="shared" si="5"/>
        <v>4.6642881545696724E-6</v>
      </c>
      <c r="F162" s="59">
        <f t="shared" si="3"/>
        <v>5.9660909785100677E-2</v>
      </c>
      <c r="G162" s="58">
        <f t="shared" si="8"/>
        <v>-268.64683910688518</v>
      </c>
      <c r="H162" s="58">
        <f t="shared" si="9"/>
        <v>-36.826725984337088</v>
      </c>
      <c r="I162" s="58">
        <f>B162/C98</f>
        <v>2.3453991087483386E-4</v>
      </c>
    </row>
    <row r="163" spans="1:9" ht="15" customHeight="1" x14ac:dyDescent="0.2">
      <c r="A163" s="57">
        <v>58</v>
      </c>
      <c r="B163" s="58">
        <v>1</v>
      </c>
      <c r="C163" s="58">
        <f t="shared" si="4"/>
        <v>1.0615847189253665E-40</v>
      </c>
      <c r="D163" s="59">
        <f t="shared" si="11"/>
        <v>1.3578730139774363E-36</v>
      </c>
      <c r="E163" s="58">
        <f t="shared" si="5"/>
        <v>3.8709895780223413E-6</v>
      </c>
      <c r="F163" s="59">
        <f t="shared" si="3"/>
        <v>4.9513827692483768E-2</v>
      </c>
      <c r="G163" s="58">
        <f t="shared" si="8"/>
        <v>-92.043640910210343</v>
      </c>
      <c r="H163" s="58">
        <f t="shared" si="9"/>
        <v>-12.46200037869418</v>
      </c>
      <c r="I163" s="58">
        <f>B163/C98</f>
        <v>7.8179970291611284E-5</v>
      </c>
    </row>
    <row r="164" spans="1:9" ht="15" customHeight="1" x14ac:dyDescent="0.2">
      <c r="A164" s="57">
        <v>59</v>
      </c>
      <c r="B164" s="58">
        <v>3</v>
      </c>
      <c r="C164" s="58">
        <f t="shared" si="4"/>
        <v>8.611891846270334E-42</v>
      </c>
      <c r="D164" s="59">
        <f t="shared" si="11"/>
        <v>1.1015470860564383E-37</v>
      </c>
      <c r="E164" s="58">
        <f t="shared" si="5"/>
        <v>3.2126451013831824E-6</v>
      </c>
      <c r="F164" s="59">
        <f t="shared" si="3"/>
        <v>4.1092943491792287E-2</v>
      </c>
      <c r="G164" s="58">
        <f t="shared" si="8"/>
        <v>-283.66628965445477</v>
      </c>
      <c r="H164" s="58">
        <f t="shared" si="9"/>
        <v>-37.945247823051687</v>
      </c>
      <c r="I164" s="58">
        <f>B164/C98</f>
        <v>2.3453991087483386E-4</v>
      </c>
    </row>
    <row r="165" spans="1:9" ht="15" customHeight="1" x14ac:dyDescent="0.2">
      <c r="A165" s="57">
        <v>60</v>
      </c>
      <c r="B165" s="58">
        <v>2</v>
      </c>
      <c r="C165" s="58">
        <f t="shared" si="4"/>
        <v>6.8697864477694746E-43</v>
      </c>
      <c r="D165" s="59">
        <f t="shared" si="11"/>
        <v>8.7871438453419356E-39</v>
      </c>
      <c r="E165" s="58">
        <f t="shared" si="5"/>
        <v>2.666290622543828E-6</v>
      </c>
      <c r="F165" s="59">
        <f t="shared" si="3"/>
        <v>3.4104523352958105E-2</v>
      </c>
      <c r="G165" s="58">
        <f t="shared" si="8"/>
        <v>-194.16805195548511</v>
      </c>
      <c r="H165" s="58">
        <f t="shared" si="9"/>
        <v>-25.66964466288476</v>
      </c>
      <c r="I165" s="58">
        <f>B165/C98</f>
        <v>1.5635994058322257E-4</v>
      </c>
    </row>
    <row r="166" spans="1:9" ht="15" customHeight="1" x14ac:dyDescent="0.2">
      <c r="A166" s="57">
        <v>61</v>
      </c>
      <c r="B166" s="58">
        <v>2</v>
      </c>
      <c r="C166" s="58">
        <f t="shared" si="4"/>
        <v>5.3902551373711154E-44</v>
      </c>
      <c r="D166" s="59">
        <f t="shared" si="11"/>
        <v>6.8946753462113942E-40</v>
      </c>
      <c r="E166" s="58">
        <f t="shared" si="5"/>
        <v>2.212870866648433E-6</v>
      </c>
      <c r="F166" s="59">
        <f t="shared" si="3"/>
        <v>2.8304831255300106E-2</v>
      </c>
      <c r="G166" s="58">
        <f t="shared" si="8"/>
        <v>-199.25830274523614</v>
      </c>
      <c r="H166" s="58">
        <f t="shared" si="9"/>
        <v>-26.042439701535251</v>
      </c>
      <c r="I166" s="58">
        <f>B166/C98</f>
        <v>1.5635994058322257E-4</v>
      </c>
    </row>
    <row r="167" spans="1:9" ht="15" customHeight="1" x14ac:dyDescent="0.2">
      <c r="A167" s="57">
        <v>62</v>
      </c>
      <c r="B167" s="58">
        <v>4</v>
      </c>
      <c r="C167" s="58">
        <f t="shared" si="4"/>
        <v>4.1611517393151569E-45</v>
      </c>
      <c r="D167" s="59">
        <f t="shared" si="11"/>
        <v>5.3225291897580172E-41</v>
      </c>
      <c r="E167" s="58">
        <f t="shared" si="5"/>
        <v>1.8365738039062387E-6</v>
      </c>
      <c r="F167" s="59">
        <f t="shared" si="3"/>
        <v>2.34916155257647E-2</v>
      </c>
      <c r="G167" s="58">
        <f t="shared" si="8"/>
        <v>-408.76214915346145</v>
      </c>
      <c r="H167" s="58">
        <f t="shared" ref="H167:H198" si="12">IF(E167&gt;0, B167*LN(E167), 0)</f>
        <v>-52.830435140929623</v>
      </c>
      <c r="I167" s="58">
        <f>B167/C98</f>
        <v>3.1271988116644513E-4</v>
      </c>
    </row>
    <row r="168" spans="1:9" ht="15" customHeight="1" x14ac:dyDescent="0.2">
      <c r="A168" s="57">
        <v>63</v>
      </c>
      <c r="B168" s="58">
        <v>3</v>
      </c>
      <c r="C168" s="58">
        <f t="shared" si="4"/>
        <v>3.1613233837856386E-46</v>
      </c>
      <c r="D168" s="59">
        <f>C168*$C$98</f>
        <v>4.0436487402002107E-42</v>
      </c>
      <c r="E168" s="58">
        <f t="shared" si="5"/>
        <v>1.5242784499592962E-6</v>
      </c>
      <c r="F168" s="59">
        <f t="shared" si="3"/>
        <v>1.9497045653429357E-2</v>
      </c>
      <c r="G168" s="58">
        <f t="shared" si="8"/>
        <v>-314.30377063637724</v>
      </c>
      <c r="H168" s="58">
        <f t="shared" si="12"/>
        <v>-40.18196822232661</v>
      </c>
      <c r="I168" s="58">
        <f>B168/C98</f>
        <v>2.3453991087483386E-4</v>
      </c>
    </row>
    <row r="169" spans="1:9" ht="15" customHeight="1" x14ac:dyDescent="0.2">
      <c r="A169" s="57">
        <v>64</v>
      </c>
      <c r="B169" s="58">
        <v>2</v>
      </c>
      <c r="C169" s="58">
        <f t="shared" si="4"/>
        <v>2.3642035767182563E-47</v>
      </c>
      <c r="D169" s="59">
        <f t="shared" ref="D169:D188" si="13">C169*$C$98</f>
        <v>3.0240527949803218E-43</v>
      </c>
      <c r="E169" s="58">
        <f t="shared" si="5"/>
        <v>1.2650967237809871E-6</v>
      </c>
      <c r="F169" s="59">
        <f t="shared" si="3"/>
        <v>1.6181852193882604E-2</v>
      </c>
      <c r="G169" s="58">
        <f t="shared" si="8"/>
        <v>-214.7221163190419</v>
      </c>
      <c r="H169" s="58">
        <f t="shared" si="12"/>
        <v>-27.16072395444175</v>
      </c>
      <c r="I169" s="58">
        <f>B169/C98</f>
        <v>1.5635994058322257E-4</v>
      </c>
    </row>
    <row r="170" spans="1:9" ht="15" customHeight="1" x14ac:dyDescent="0.2">
      <c r="A170" s="57">
        <v>65</v>
      </c>
      <c r="B170" s="58">
        <v>7</v>
      </c>
      <c r="C170" s="58">
        <f t="shared" si="4"/>
        <v>1.7408743788633641E-48</v>
      </c>
      <c r="D170" s="59">
        <f t="shared" si="13"/>
        <v>2.2267524180041291E-44</v>
      </c>
      <c r="E170" s="58">
        <f t="shared" si="5"/>
        <v>1.0499933339884652E-6</v>
      </c>
      <c r="F170" s="59">
        <f t="shared" si="3"/>
        <v>1.3430464735046457E-2</v>
      </c>
      <c r="G170" s="58">
        <f t="shared" si="8"/>
        <v>-769.7878787208316</v>
      </c>
      <c r="H170" s="58">
        <f t="shared" si="12"/>
        <v>-96.367087196781853</v>
      </c>
      <c r="I170" s="58">
        <f>B170/C98</f>
        <v>5.4725979204127905E-4</v>
      </c>
    </row>
    <row r="171" spans="1:9" ht="15" customHeight="1" x14ac:dyDescent="0.2">
      <c r="A171" s="57">
        <v>66</v>
      </c>
      <c r="B171" s="58">
        <v>2</v>
      </c>
      <c r="C171" s="58">
        <f t="shared" si="4"/>
        <v>1.2624652081173791E-49</v>
      </c>
      <c r="D171" s="59">
        <f t="shared" si="13"/>
        <v>1.6148192477029398E-45</v>
      </c>
      <c r="E171" s="58">
        <f t="shared" si="5"/>
        <v>8.7147039778577999E-7</v>
      </c>
      <c r="F171" s="59">
        <f t="shared" si="3"/>
        <v>1.1146977858077911E-2</v>
      </c>
      <c r="G171" s="58">
        <f t="shared" ref="G171:G198" si="14">IF(C171&gt;0, B171*LN(C171), 0)</f>
        <v>-225.18720646569483</v>
      </c>
      <c r="H171" s="58">
        <f t="shared" si="12"/>
        <v>-27.906167879066142</v>
      </c>
      <c r="I171" s="58">
        <f>B171/C98</f>
        <v>1.5635994058322257E-4</v>
      </c>
    </row>
    <row r="172" spans="1:9" ht="15" customHeight="1" x14ac:dyDescent="0.2">
      <c r="A172" s="57">
        <v>67</v>
      </c>
      <c r="B172" s="58">
        <v>1</v>
      </c>
      <c r="C172" s="58">
        <f t="shared" si="4"/>
        <v>9.0186292958031444E-51</v>
      </c>
      <c r="D172" s="59">
        <f t="shared" si="13"/>
        <v>1.1535728732261802E-46</v>
      </c>
      <c r="E172" s="58">
        <f t="shared" si="5"/>
        <v>7.2330576363677837E-7</v>
      </c>
      <c r="F172" s="59">
        <f t="shared" ref="F172:F184" si="15">E172*$C$98</f>
        <v>9.251804022678032E-3</v>
      </c>
      <c r="G172" s="58">
        <f t="shared" si="14"/>
        <v>-115.23254738294058</v>
      </c>
      <c r="H172" s="58">
        <f t="shared" si="12"/>
        <v>-14.139433794594266</v>
      </c>
      <c r="I172" s="58">
        <f>B172/C98</f>
        <v>7.8179970291611284E-5</v>
      </c>
    </row>
    <row r="173" spans="1:9" ht="15" customHeight="1" x14ac:dyDescent="0.2">
      <c r="A173" s="57">
        <v>68</v>
      </c>
      <c r="B173" s="58">
        <v>3</v>
      </c>
      <c r="C173" s="58">
        <f t="shared" ref="C173:C198" si="16">($B$103/A173) * C172</f>
        <v>6.3478629748670281E-52</v>
      </c>
      <c r="D173" s="59">
        <f t="shared" si="13"/>
        <v>8.1195515311524154E-48</v>
      </c>
      <c r="E173" s="58">
        <f t="shared" ref="E173:E181" si="17">(($B$101 + A173 - 1)/(A173*($B$102+1))) * E172</f>
        <v>6.003358888753185E-7</v>
      </c>
      <c r="F173" s="59">
        <f t="shared" si="15"/>
        <v>7.6788963546041986E-3</v>
      </c>
      <c r="G173" s="58">
        <f t="shared" si="14"/>
        <v>-353.65891985645663</v>
      </c>
      <c r="H173" s="58">
        <f t="shared" si="12"/>
        <v>-42.97732957072774</v>
      </c>
      <c r="I173" s="58">
        <f>B173/C98</f>
        <v>2.3453991087483386E-4</v>
      </c>
    </row>
    <row r="174" spans="1:9" ht="15" customHeight="1" x14ac:dyDescent="0.2">
      <c r="A174" s="57">
        <v>70</v>
      </c>
      <c r="B174" s="58">
        <v>2</v>
      </c>
      <c r="C174" s="58">
        <f t="shared" si="16"/>
        <v>4.340356714926057E-53</v>
      </c>
      <c r="D174" s="59">
        <f t="shared" si="13"/>
        <v>5.5517502740619199E-49</v>
      </c>
      <c r="E174" s="58">
        <f t="shared" si="17"/>
        <v>4.98279032132698E-7</v>
      </c>
      <c r="F174" s="59">
        <f t="shared" si="15"/>
        <v>6.3734871000093399E-3</v>
      </c>
      <c r="G174" s="58">
        <f t="shared" si="14"/>
        <v>-241.13810678314087</v>
      </c>
      <c r="H174" s="58">
        <f t="shared" si="12"/>
        <v>-29.024211222693847</v>
      </c>
      <c r="I174" s="58">
        <f>B174/C98</f>
        <v>1.5635994058322257E-4</v>
      </c>
    </row>
    <row r="175" spans="1:9" ht="15" customHeight="1" x14ac:dyDescent="0.2">
      <c r="A175" s="57">
        <v>72</v>
      </c>
      <c r="B175" s="58">
        <v>1</v>
      </c>
      <c r="C175" s="58">
        <f t="shared" si="16"/>
        <v>2.8852858612011067E-54</v>
      </c>
      <c r="D175" s="59">
        <f t="shared" si="13"/>
        <v>3.6905691450623358E-50</v>
      </c>
      <c r="E175" s="58">
        <f t="shared" si="17"/>
        <v>4.1357712765452452E-7</v>
      </c>
      <c r="F175" s="59">
        <f t="shared" si="15"/>
        <v>5.2900650398290229E-3</v>
      </c>
      <c r="G175" s="58">
        <f t="shared" si="14"/>
        <v>-123.27997104128869</v>
      </c>
      <c r="H175" s="58">
        <f t="shared" si="12"/>
        <v>-14.698421815923194</v>
      </c>
      <c r="I175" s="58">
        <f>B175/C98</f>
        <v>7.8179970291611284E-5</v>
      </c>
    </row>
    <row r="176" spans="1:9" ht="15" customHeight="1" x14ac:dyDescent="0.2">
      <c r="A176" s="57">
        <v>74</v>
      </c>
      <c r="B176" s="58">
        <v>1</v>
      </c>
      <c r="C176" s="58">
        <f t="shared" si="16"/>
        <v>1.8661779260818204E-55</v>
      </c>
      <c r="D176" s="59">
        <f t="shared" si="13"/>
        <v>2.3870281852512566E-51</v>
      </c>
      <c r="E176" s="58">
        <f t="shared" si="17"/>
        <v>3.4327779011353552E-7</v>
      </c>
      <c r="F176" s="59">
        <f t="shared" si="15"/>
        <v>4.390866213342233E-3</v>
      </c>
      <c r="G176" s="58">
        <f t="shared" si="14"/>
        <v>-126.01828766519506</v>
      </c>
      <c r="H176" s="58">
        <f t="shared" si="12"/>
        <v>-14.884725833846391</v>
      </c>
      <c r="I176" s="58">
        <f>B176/C98</f>
        <v>7.8179970291611284E-5</v>
      </c>
    </row>
    <row r="177" spans="1:9" ht="15" customHeight="1" x14ac:dyDescent="0.2">
      <c r="A177" s="57">
        <v>75</v>
      </c>
      <c r="B177" s="58">
        <v>2</v>
      </c>
      <c r="C177" s="58">
        <f t="shared" si="16"/>
        <v>1.1909340297881857E-56</v>
      </c>
      <c r="D177" s="59">
        <f t="shared" si="13"/>
        <v>1.5233237175020683E-52</v>
      </c>
      <c r="E177" s="58">
        <f t="shared" si="17"/>
        <v>2.8492951523534142E-7</v>
      </c>
      <c r="F177" s="59">
        <f t="shared" si="15"/>
        <v>3.6445334293752521E-3</v>
      </c>
      <c r="G177" s="58">
        <f t="shared" si="14"/>
        <v>-257.54005461886715</v>
      </c>
      <c r="H177" s="58">
        <f t="shared" si="12"/>
        <v>-30.142048004457727</v>
      </c>
      <c r="I177" s="58">
        <f>B177/C98</f>
        <v>1.5635994058322257E-4</v>
      </c>
    </row>
    <row r="178" spans="1:9" ht="15" customHeight="1" x14ac:dyDescent="0.2">
      <c r="A178" s="57">
        <v>78</v>
      </c>
      <c r="B178" s="58">
        <v>1</v>
      </c>
      <c r="C178" s="58">
        <f t="shared" si="16"/>
        <v>7.3078398711496384E-58</v>
      </c>
      <c r="D178" s="59">
        <f t="shared" si="13"/>
        <v>9.347457979187502E-54</v>
      </c>
      <c r="E178" s="58">
        <f t="shared" si="17"/>
        <v>2.3650286330122508E-7</v>
      </c>
      <c r="F178" s="59">
        <f t="shared" si="15"/>
        <v>3.02510812448597E-3</v>
      </c>
      <c r="G178" s="58">
        <f t="shared" si="14"/>
        <v>-131.56098766682535</v>
      </c>
      <c r="H178" s="58">
        <f t="shared" si="12"/>
        <v>-15.257305522105788</v>
      </c>
      <c r="I178" s="58">
        <f>B178/C98</f>
        <v>7.8179970291611284E-5</v>
      </c>
    </row>
    <row r="179" spans="1:9" ht="15" customHeight="1" x14ac:dyDescent="0.2">
      <c r="A179" s="57">
        <v>80</v>
      </c>
      <c r="B179" s="58">
        <v>1</v>
      </c>
      <c r="C179" s="58">
        <f t="shared" si="16"/>
        <v>4.3721490183688924E-59</v>
      </c>
      <c r="D179" s="59">
        <f t="shared" si="13"/>
        <v>5.5924158093956505E-55</v>
      </c>
      <c r="E179" s="58">
        <f t="shared" si="17"/>
        <v>1.9630885310516214E-7</v>
      </c>
      <c r="F179" s="59">
        <f t="shared" si="15"/>
        <v>2.5109865400681289E-3</v>
      </c>
      <c r="G179" s="58">
        <f t="shared" si="14"/>
        <v>-134.37726583220143</v>
      </c>
      <c r="H179" s="58">
        <f t="shared" si="12"/>
        <v>-15.443576636807494</v>
      </c>
      <c r="I179" s="58">
        <f>B179/C98</f>
        <v>7.8179970291611284E-5</v>
      </c>
    </row>
    <row r="180" spans="1:9" ht="15" customHeight="1" x14ac:dyDescent="0.2">
      <c r="A180" s="57">
        <v>81</v>
      </c>
      <c r="B180" s="58">
        <v>1</v>
      </c>
      <c r="C180" s="58">
        <f t="shared" si="16"/>
        <v>2.5834844817928693E-60</v>
      </c>
      <c r="D180" s="59">
        <f t="shared" si="13"/>
        <v>3.3045350006612589E-56</v>
      </c>
      <c r="E180" s="58">
        <f t="shared" si="17"/>
        <v>1.6294669052142252E-7</v>
      </c>
      <c r="F180" s="59">
        <f t="shared" si="15"/>
        <v>2.0842511184595153E-3</v>
      </c>
      <c r="G180" s="58">
        <f t="shared" si="14"/>
        <v>-137.20596651757609</v>
      </c>
      <c r="H180" s="58">
        <f t="shared" si="12"/>
        <v>-15.629842741648636</v>
      </c>
      <c r="I180" s="58">
        <f>B180/C98</f>
        <v>7.8179970291611284E-5</v>
      </c>
    </row>
    <row r="181" spans="1:9" ht="15" customHeight="1" x14ac:dyDescent="0.2">
      <c r="A181" s="57">
        <v>82</v>
      </c>
      <c r="B181" s="58">
        <v>2</v>
      </c>
      <c r="C181" s="58">
        <f t="shared" si="16"/>
        <v>1.507953414842384E-61</v>
      </c>
      <c r="D181" s="59">
        <f t="shared" si="13"/>
        <v>1.9288232129248934E-57</v>
      </c>
      <c r="E181" s="58">
        <f t="shared" si="17"/>
        <v>1.3525499898305971E-7</v>
      </c>
      <c r="F181" s="59">
        <f t="shared" si="15"/>
        <v>1.7300466919923168E-3</v>
      </c>
      <c r="G181" s="58">
        <f t="shared" si="14"/>
        <v>-280.09387459108507</v>
      </c>
      <c r="H181" s="58">
        <f t="shared" si="12"/>
        <v>-31.632207917690241</v>
      </c>
      <c r="I181" s="58">
        <f>B181/C98</f>
        <v>1.5635994058322257E-4</v>
      </c>
    </row>
    <row r="182" spans="1:9" ht="15" customHeight="1" x14ac:dyDescent="0.2">
      <c r="A182" s="57">
        <v>83</v>
      </c>
      <c r="B182" s="58">
        <v>2</v>
      </c>
      <c r="C182" s="58">
        <f t="shared" si="16"/>
        <v>8.6957241217295657E-63</v>
      </c>
      <c r="D182" s="59">
        <f t="shared" si="13"/>
        <v>1.1122700724104288E-58</v>
      </c>
      <c r="E182" s="58">
        <f>(($B$101 + A182 - 1)/(A182*($B$102+1))) * E181</f>
        <v>1.1226985924507537E-7</v>
      </c>
      <c r="F182" s="59">
        <f t="shared" si="15"/>
        <v>1.4360437696037591E-3</v>
      </c>
      <c r="G182" s="58">
        <f t="shared" si="14"/>
        <v>-285.80005886808266</v>
      </c>
      <c r="H182" s="58">
        <f t="shared" si="12"/>
        <v>-32.004720812389102</v>
      </c>
      <c r="I182" s="58">
        <f>B182/C98</f>
        <v>1.5635994058322257E-4</v>
      </c>
    </row>
    <row r="183" spans="1:9" ht="15" customHeight="1" x14ac:dyDescent="0.2">
      <c r="A183" s="57">
        <v>84</v>
      </c>
      <c r="B183" s="58">
        <v>1</v>
      </c>
      <c r="C183" s="58">
        <f t="shared" si="16"/>
        <v>4.9547573112829125E-64</v>
      </c>
      <c r="D183" s="59">
        <f t="shared" si="13"/>
        <v>6.337630076861973E-60</v>
      </c>
      <c r="E183" s="58">
        <f t="shared" ref="E183:E198" si="18">(($B$101 + A183 - 1)/(A183*($B$102+1))) * E182</f>
        <v>9.3191231967100339E-8</v>
      </c>
      <c r="F183" s="59">
        <f t="shared" si="15"/>
        <v>1.1920090480911805E-3</v>
      </c>
      <c r="G183" s="58">
        <f t="shared" si="14"/>
        <v>-145.76509776358682</v>
      </c>
      <c r="H183" s="58">
        <f t="shared" si="12"/>
        <v>-16.188612197286659</v>
      </c>
      <c r="I183" s="58">
        <f>B183/C98</f>
        <v>7.8179970291611284E-5</v>
      </c>
    </row>
    <row r="184" spans="1:9" ht="15" customHeight="1" x14ac:dyDescent="0.2">
      <c r="A184" s="57">
        <v>86</v>
      </c>
      <c r="B184" s="58">
        <v>1</v>
      </c>
      <c r="C184" s="58">
        <f t="shared" si="16"/>
        <v>2.7575275252953219E-65</v>
      </c>
      <c r="D184" s="59">
        <f t="shared" si="13"/>
        <v>3.5271534576052463E-61</v>
      </c>
      <c r="E184" s="58">
        <f t="shared" si="18"/>
        <v>7.7355434735917623E-8</v>
      </c>
      <c r="F184" s="59">
        <f t="shared" si="15"/>
        <v>9.894533657071223E-4</v>
      </c>
      <c r="G184" s="58">
        <f t="shared" si="14"/>
        <v>-148.65369659054252</v>
      </c>
      <c r="H184" s="58">
        <f t="shared" si="12"/>
        <v>-16.374855000780602</v>
      </c>
      <c r="I184" s="58">
        <f>B184/C98</f>
        <v>7.8179970291611284E-5</v>
      </c>
    </row>
    <row r="185" spans="1:9" ht="15" customHeight="1" x14ac:dyDescent="0.2">
      <c r="A185" s="57">
        <v>87</v>
      </c>
      <c r="B185" s="58">
        <v>2</v>
      </c>
      <c r="C185" s="58">
        <f t="shared" si="16"/>
        <v>1.5170382248483345E-66</v>
      </c>
      <c r="D185" s="59">
        <f t="shared" si="13"/>
        <v>1.9404435934035047E-62</v>
      </c>
      <c r="E185" s="58">
        <f t="shared" si="18"/>
        <v>6.421086104116517E-8</v>
      </c>
      <c r="F185" s="59">
        <f>E185*$C$98</f>
        <v>8.2132112357754367E-4</v>
      </c>
      <c r="G185" s="58">
        <f t="shared" si="14"/>
        <v>-303.10771247979864</v>
      </c>
      <c r="H185" s="58">
        <f t="shared" si="12"/>
        <v>-33.122186930925913</v>
      </c>
      <c r="I185" s="58">
        <f>B185/C98</f>
        <v>1.5635994058322257E-4</v>
      </c>
    </row>
    <row r="186" spans="1:9" ht="15" customHeight="1" x14ac:dyDescent="0.2">
      <c r="A186" s="57">
        <v>88</v>
      </c>
      <c r="B186" s="58">
        <v>1</v>
      </c>
      <c r="C186" s="58">
        <f t="shared" si="16"/>
        <v>8.2510605080489732E-68</v>
      </c>
      <c r="D186" s="59">
        <f t="shared" si="13"/>
        <v>1.0553931495845441E-63</v>
      </c>
      <c r="E186" s="58">
        <f t="shared" si="18"/>
        <v>5.3300096782938909E-8</v>
      </c>
      <c r="F186" s="59">
        <f t="shared" ref="F186:F198" si="19">E186*$C$98</f>
        <v>6.8176153795057159E-4</v>
      </c>
      <c r="G186" s="58">
        <f t="shared" si="14"/>
        <v>-154.46544458507972</v>
      </c>
      <c r="H186" s="58">
        <f t="shared" si="12"/>
        <v>-16.747327689961271</v>
      </c>
      <c r="I186" s="58">
        <f>B186/C98</f>
        <v>7.8179970291611284E-5</v>
      </c>
    </row>
    <row r="187" spans="1:9" ht="15" customHeight="1" x14ac:dyDescent="0.2">
      <c r="A187" s="57">
        <v>90</v>
      </c>
      <c r="B187" s="58">
        <v>2</v>
      </c>
      <c r="C187" s="58">
        <f t="shared" si="16"/>
        <v>4.3879652825620984E-69</v>
      </c>
      <c r="D187" s="59">
        <f t="shared" si="13"/>
        <v>5.6126463929251805E-65</v>
      </c>
      <c r="E187" s="58">
        <f t="shared" si="18"/>
        <v>4.4243661582698327E-8</v>
      </c>
      <c r="F187" s="59">
        <f t="shared" si="19"/>
        <v>5.6592067530429428E-4</v>
      </c>
      <c r="G187" s="58">
        <f t="shared" si="14"/>
        <v>-314.79901157222434</v>
      </c>
      <c r="H187" s="58">
        <f t="shared" si="12"/>
        <v>-33.867107433642836</v>
      </c>
      <c r="I187" s="58">
        <f>B187/C98</f>
        <v>1.5635994058322257E-4</v>
      </c>
    </row>
    <row r="188" spans="1:9" ht="15" customHeight="1" x14ac:dyDescent="0.2">
      <c r="A188" s="57">
        <v>92</v>
      </c>
      <c r="B188" s="58">
        <v>1</v>
      </c>
      <c r="C188" s="58">
        <f t="shared" si="16"/>
        <v>2.2828179338370917E-70</v>
      </c>
      <c r="D188" s="59">
        <f t="shared" si="13"/>
        <v>2.9199524191710241E-66</v>
      </c>
      <c r="E188" s="58">
        <f t="shared" si="18"/>
        <v>3.672632992304255E-8</v>
      </c>
      <c r="F188" s="59">
        <f t="shared" si="19"/>
        <v>4.6976648604563727E-4</v>
      </c>
      <c r="G188" s="58">
        <f t="shared" si="14"/>
        <v>-160.35554589386342</v>
      </c>
      <c r="H188" s="58">
        <f t="shared" si="12"/>
        <v>-17.119771902525329</v>
      </c>
      <c r="I188" s="58">
        <f>B188/C98</f>
        <v>7.8179970291611284E-5</v>
      </c>
    </row>
    <row r="189" spans="1:9" ht="15" customHeight="1" x14ac:dyDescent="0.2">
      <c r="A189" s="57">
        <v>93</v>
      </c>
      <c r="B189" s="58">
        <v>1</v>
      </c>
      <c r="C189" s="58">
        <f t="shared" si="16"/>
        <v>1.1748549402380589E-71</v>
      </c>
      <c r="D189" s="59">
        <f>C189*$C$98</f>
        <v>1.502756954058501E-67</v>
      </c>
      <c r="E189" s="58">
        <f t="shared" si="18"/>
        <v>3.0486365253835293E-8</v>
      </c>
      <c r="F189" s="59">
        <f t="shared" si="19"/>
        <v>3.8995109796180721E-4</v>
      </c>
      <c r="G189" s="58">
        <f t="shared" si="14"/>
        <v>-163.32239691771889</v>
      </c>
      <c r="H189" s="58">
        <f t="shared" si="12"/>
        <v>-17.305986294143459</v>
      </c>
      <c r="I189" s="58">
        <f>B189/C98</f>
        <v>7.8179970291611284E-5</v>
      </c>
    </row>
    <row r="190" spans="1:9" ht="15" customHeight="1" x14ac:dyDescent="0.2">
      <c r="A190" s="57">
        <v>95</v>
      </c>
      <c r="B190" s="58">
        <v>1</v>
      </c>
      <c r="C190" s="58">
        <f t="shared" si="16"/>
        <v>5.9191120645119879E-73</v>
      </c>
      <c r="D190" s="59">
        <f t="shared" ref="D190:D196" si="20">C190*$C$98</f>
        <v>7.5711362417172841E-69</v>
      </c>
      <c r="E190" s="58">
        <f t="shared" si="18"/>
        <v>2.5306783939434134E-8</v>
      </c>
      <c r="F190" s="59">
        <f t="shared" si="19"/>
        <v>3.23699073369302E-4</v>
      </c>
      <c r="G190" s="58">
        <f t="shared" si="14"/>
        <v>-166.31052534002163</v>
      </c>
      <c r="H190" s="58">
        <f t="shared" si="12"/>
        <v>-17.492193337257433</v>
      </c>
      <c r="I190" s="58">
        <f>B190/C98</f>
        <v>7.8179970291611284E-5</v>
      </c>
    </row>
    <row r="191" spans="1:9" ht="15" customHeight="1" x14ac:dyDescent="0.2">
      <c r="A191" s="57">
        <v>96</v>
      </c>
      <c r="B191" s="58">
        <v>1</v>
      </c>
      <c r="C191" s="58">
        <f t="shared" si="16"/>
        <v>2.9510818129079076E-74</v>
      </c>
      <c r="D191" s="59">
        <f t="shared" si="20"/>
        <v>3.7747287468905047E-70</v>
      </c>
      <c r="E191" s="58">
        <f t="shared" si="18"/>
        <v>2.1007279404910164E-8</v>
      </c>
      <c r="F191" s="59">
        <f t="shared" si="19"/>
        <v>2.6870411086820593E-4</v>
      </c>
      <c r="G191" s="58">
        <f t="shared" si="14"/>
        <v>-169.30912506219164</v>
      </c>
      <c r="H191" s="58">
        <f t="shared" si="12"/>
        <v>-17.678396820959119</v>
      </c>
      <c r="I191" s="58">
        <f>B191/C98</f>
        <v>7.8179970291611284E-5</v>
      </c>
    </row>
    <row r="192" spans="1:9" ht="15" customHeight="1" x14ac:dyDescent="0.2">
      <c r="A192" s="57">
        <v>117</v>
      </c>
      <c r="B192" s="58">
        <v>1</v>
      </c>
      <c r="C192" s="58">
        <f t="shared" si="16"/>
        <v>1.2072335828279032E-75</v>
      </c>
      <c r="D192" s="59">
        <f t="shared" si="20"/>
        <v>1.5441724757951711E-71</v>
      </c>
      <c r="E192" s="58">
        <f t="shared" si="18"/>
        <v>1.7439299002787818E-8</v>
      </c>
      <c r="F192" s="59">
        <f t="shared" si="19"/>
        <v>2.2306607354465898E-4</v>
      </c>
      <c r="G192" s="58">
        <f t="shared" si="14"/>
        <v>-172.50555052769161</v>
      </c>
      <c r="H192" s="58">
        <f t="shared" si="12"/>
        <v>-17.864539614067688</v>
      </c>
      <c r="I192" s="58">
        <f>B192/C98</f>
        <v>7.8179970291611284E-5</v>
      </c>
    </row>
    <row r="193" spans="1:11" ht="15" customHeight="1" x14ac:dyDescent="0.2">
      <c r="A193" s="57">
        <v>120</v>
      </c>
      <c r="B193" s="58">
        <v>2</v>
      </c>
      <c r="C193" s="58">
        <f t="shared" si="16"/>
        <v>4.8151074436652767E-77</v>
      </c>
      <c r="D193" s="59">
        <f t="shared" si="20"/>
        <v>6.1590039311922552E-73</v>
      </c>
      <c r="E193" s="58">
        <f t="shared" si="18"/>
        <v>1.4477422480225427E-8</v>
      </c>
      <c r="F193" s="59">
        <f t="shared" si="19"/>
        <v>1.8518071094456343E-4</v>
      </c>
      <c r="G193" s="58">
        <f t="shared" si="14"/>
        <v>-351.45458760235169</v>
      </c>
      <c r="H193" s="58">
        <f t="shared" si="12"/>
        <v>-36.10135094268599</v>
      </c>
      <c r="I193" s="58">
        <f>B193/C98</f>
        <v>1.5635994058322257E-4</v>
      </c>
    </row>
    <row r="194" spans="1:11" ht="15" customHeight="1" x14ac:dyDescent="0.2">
      <c r="A194" s="57">
        <v>136</v>
      </c>
      <c r="B194" s="58">
        <v>2</v>
      </c>
      <c r="C194" s="58">
        <f t="shared" si="16"/>
        <v>1.6945835813360952E-78</v>
      </c>
      <c r="D194" s="59">
        <f t="shared" si="20"/>
        <v>2.1675418588869994E-74</v>
      </c>
      <c r="E194" s="58">
        <f t="shared" si="18"/>
        <v>1.2018971154142598E-8</v>
      </c>
      <c r="F194" s="59">
        <f t="shared" si="19"/>
        <v>1.5373466003263796E-4</v>
      </c>
      <c r="G194" s="58">
        <f t="shared" si="14"/>
        <v>-358.14840043522821</v>
      </c>
      <c r="H194" s="58">
        <f t="shared" si="12"/>
        <v>-36.473559012000109</v>
      </c>
      <c r="I194" s="58">
        <f>B194/C98</f>
        <v>1.5635994058322257E-4</v>
      </c>
    </row>
    <row r="195" spans="1:11" ht="15" customHeight="1" x14ac:dyDescent="0.2">
      <c r="A195" s="57">
        <v>138</v>
      </c>
      <c r="B195" s="58">
        <v>1</v>
      </c>
      <c r="C195" s="58">
        <f t="shared" si="16"/>
        <v>5.8773266434493167E-80</v>
      </c>
      <c r="D195" s="59">
        <f t="shared" si="20"/>
        <v>7.5176885096360212E-76</v>
      </c>
      <c r="E195" s="58">
        <f t="shared" si="18"/>
        <v>9.9780307898573313E-9</v>
      </c>
      <c r="F195" s="59">
        <f t="shared" si="19"/>
        <v>1.2762899183306513E-4</v>
      </c>
      <c r="G195" s="58">
        <f t="shared" si="14"/>
        <v>-182.43570543347349</v>
      </c>
      <c r="H195" s="58">
        <f t="shared" si="12"/>
        <v>-18.42288008173789</v>
      </c>
      <c r="I195" s="58">
        <f>B195/C98</f>
        <v>7.8179970291611284E-5</v>
      </c>
    </row>
    <row r="196" spans="1:11" ht="15" customHeight="1" x14ac:dyDescent="0.2">
      <c r="A196" s="57">
        <v>147</v>
      </c>
      <c r="B196" s="58">
        <v>1</v>
      </c>
      <c r="C196" s="58">
        <f t="shared" si="16"/>
        <v>1.9136319512423471E-81</v>
      </c>
      <c r="D196" s="59">
        <f t="shared" si="20"/>
        <v>2.4477266288340863E-77</v>
      </c>
      <c r="E196" s="58">
        <f t="shared" si="18"/>
        <v>8.2837816052190744E-9</v>
      </c>
      <c r="F196" s="59">
        <f t="shared" si="19"/>
        <v>1.0595785051235719E-4</v>
      </c>
      <c r="G196" s="58">
        <f t="shared" si="14"/>
        <v>-185.86038955095444</v>
      </c>
      <c r="H196" s="58">
        <f>IF(E196&gt;0, B196*LN(E196), 0)</f>
        <v>-18.608966257205903</v>
      </c>
      <c r="I196" s="58">
        <f>B196/C98</f>
        <v>7.8179970291611284E-5</v>
      </c>
    </row>
    <row r="197" spans="1:11" ht="15" customHeight="1" x14ac:dyDescent="0.2">
      <c r="A197" s="57">
        <v>148</v>
      </c>
      <c r="B197" s="58">
        <v>1</v>
      </c>
      <c r="C197" s="58">
        <f t="shared" si="16"/>
        <v>6.1886029285270122E-83</v>
      </c>
      <c r="D197" s="59">
        <f>C197*$C$98</f>
        <v>7.9158420058789008E-79</v>
      </c>
      <c r="E197" s="58">
        <f t="shared" si="18"/>
        <v>6.877222721047341E-9</v>
      </c>
      <c r="F197" s="59">
        <f t="shared" si="19"/>
        <v>8.7966555824916533E-5</v>
      </c>
      <c r="G197" s="58">
        <f t="shared" si="14"/>
        <v>-189.29185335542076</v>
      </c>
      <c r="H197" s="58">
        <f t="shared" si="12"/>
        <v>-18.795050940765925</v>
      </c>
      <c r="I197" s="58">
        <f>B197/C98</f>
        <v>7.8179970291611284E-5</v>
      </c>
    </row>
    <row r="198" spans="1:11" ht="15" customHeight="1" x14ac:dyDescent="0.2">
      <c r="A198" s="57">
        <v>162</v>
      </c>
      <c r="B198" s="58">
        <v>1</v>
      </c>
      <c r="C198" s="58">
        <f t="shared" si="16"/>
        <v>1.8284097319940052E-84</v>
      </c>
      <c r="D198" s="59">
        <f t="shared" ref="D198" si="21">C198*$C$98</f>
        <v>2.338718888193532E-80</v>
      </c>
      <c r="E198" s="58">
        <f t="shared" si="18"/>
        <v>5.7096011219883762E-9</v>
      </c>
      <c r="F198" s="59">
        <f t="shared" si="19"/>
        <v>7.3031507951353314E-5</v>
      </c>
      <c r="G198" s="58">
        <f t="shared" si="14"/>
        <v>-192.81370122135533</v>
      </c>
      <c r="H198" s="58">
        <f t="shared" si="12"/>
        <v>-18.981116671762607</v>
      </c>
      <c r="I198" s="58">
        <f>B198/C98</f>
        <v>7.8179970291611284E-5</v>
      </c>
    </row>
    <row r="199" spans="1:11" ht="15" customHeight="1" x14ac:dyDescent="0.2">
      <c r="A199" s="26" t="s">
        <v>74</v>
      </c>
      <c r="B199" s="26"/>
      <c r="C199" s="2">
        <f>SUM(C107:C198)</f>
        <v>0.99165636212123365</v>
      </c>
      <c r="D199" s="39"/>
      <c r="E199" s="39"/>
      <c r="F199" s="39"/>
      <c r="G199" s="39"/>
      <c r="H199" s="39"/>
      <c r="I199" s="47"/>
    </row>
    <row r="200" spans="1:11" ht="15.75" customHeight="1" x14ac:dyDescent="0.2">
      <c r="A200" s="26" t="s">
        <v>73</v>
      </c>
      <c r="B200" s="26"/>
      <c r="C200" s="39"/>
      <c r="D200" s="39"/>
      <c r="E200" s="2">
        <f>SUM(E107:E198)</f>
        <v>0.82033315874825297</v>
      </c>
      <c r="F200" s="39"/>
      <c r="G200" s="39"/>
      <c r="H200" s="39"/>
      <c r="I200" s="48"/>
    </row>
    <row r="201" spans="1:11" ht="15.75" customHeight="1" x14ac:dyDescent="0.2">
      <c r="A201" s="23" t="s">
        <v>4</v>
      </c>
      <c r="B201" s="2">
        <f t="shared" ref="B201:I201" si="22">SUM(B107:B198)</f>
        <v>12791</v>
      </c>
      <c r="C201" s="2">
        <f t="shared" si="22"/>
        <v>0.99165636212123365</v>
      </c>
      <c r="D201" s="2">
        <f t="shared" si="22"/>
        <v>12684.2765278927</v>
      </c>
      <c r="E201" s="2">
        <f t="shared" si="22"/>
        <v>0.82033315874825297</v>
      </c>
      <c r="F201" s="2">
        <f t="shared" si="22"/>
        <v>10492.881433548902</v>
      </c>
      <c r="G201" s="3">
        <f t="shared" si="22"/>
        <v>-63412.199601311862</v>
      </c>
      <c r="H201" s="3">
        <f t="shared" si="22"/>
        <v>-33946.850445614225</v>
      </c>
      <c r="I201" s="2">
        <f t="shared" si="22"/>
        <v>1.0000000000000002</v>
      </c>
    </row>
    <row r="202" spans="1:11" ht="15" customHeight="1" x14ac:dyDescent="0.2"/>
    <row r="203" spans="1:11" ht="25" customHeight="1" x14ac:dyDescent="0.2">
      <c r="A203" s="27" t="s">
        <v>72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</row>
    <row r="204" spans="1:11" ht="21.75" customHeight="1" x14ac:dyDescent="0.2">
      <c r="A204" s="29" t="s">
        <v>7</v>
      </c>
      <c r="B204" s="30"/>
      <c r="C204" s="30"/>
      <c r="D204" s="30"/>
      <c r="E204" s="31"/>
      <c r="F204" s="6">
        <f>C98</f>
        <v>12791</v>
      </c>
      <c r="G204" s="6"/>
      <c r="H204" s="6"/>
      <c r="I204" s="6"/>
      <c r="J204" s="6"/>
      <c r="K204" s="6"/>
    </row>
    <row r="205" spans="1:11" ht="18" customHeight="1" x14ac:dyDescent="0.2">
      <c r="A205" s="29" t="s">
        <v>91</v>
      </c>
      <c r="B205" s="30"/>
      <c r="C205" s="30"/>
      <c r="D205" s="30"/>
      <c r="E205" s="31"/>
      <c r="F205" s="6">
        <f>SUMPRODUCT(A107:A198,B107:B198)</f>
        <v>61221</v>
      </c>
      <c r="G205" s="6"/>
      <c r="H205" s="6"/>
      <c r="I205" s="6"/>
      <c r="J205" s="6"/>
      <c r="K205" s="6"/>
    </row>
    <row r="206" spans="1:11" ht="18" customHeight="1" x14ac:dyDescent="0.2">
      <c r="A206" s="29" t="s">
        <v>8</v>
      </c>
      <c r="B206" s="30"/>
      <c r="C206" s="30"/>
      <c r="D206" s="30"/>
      <c r="E206" s="31"/>
      <c r="F206" s="6">
        <f>SUMPRODUCT(A107:A198,B107:B198)/C98</f>
        <v>4.7862559612227349</v>
      </c>
      <c r="G206" s="6"/>
      <c r="H206" s="6"/>
      <c r="I206" s="6"/>
      <c r="J206" s="6"/>
      <c r="K206" s="6"/>
    </row>
    <row r="207" spans="1:11" ht="18" customHeight="1" x14ac:dyDescent="0.2">
      <c r="A207" s="29" t="s">
        <v>87</v>
      </c>
      <c r="B207" s="30"/>
      <c r="C207" s="30"/>
      <c r="D207" s="30"/>
      <c r="E207" s="31"/>
      <c r="F207" s="6">
        <f>SUMPRODUCT(B107:B198,(A107:A198-SUMPRODUCT(B107:B198,A107:A198)/C98)^2)/C98</f>
        <v>76.565055413805254</v>
      </c>
      <c r="G207" s="6"/>
      <c r="H207" s="6"/>
      <c r="I207" s="6"/>
      <c r="J207" s="6"/>
      <c r="K207" s="6"/>
    </row>
    <row r="208" spans="1:11" ht="18" customHeight="1" x14ac:dyDescent="0.2">
      <c r="A208" s="29" t="s">
        <v>9</v>
      </c>
      <c r="B208" s="30"/>
      <c r="C208" s="30"/>
      <c r="D208" s="30"/>
      <c r="E208" s="31"/>
      <c r="F208" s="6">
        <f>F207/F206</f>
        <v>15.996857676254601</v>
      </c>
      <c r="G208" s="6"/>
      <c r="H208" s="6"/>
      <c r="I208" s="6"/>
      <c r="J208" s="6"/>
      <c r="K208" s="6"/>
    </row>
    <row r="209" spans="1:12" ht="18" customHeight="1" x14ac:dyDescent="0.2">
      <c r="A209" s="29" t="s">
        <v>10</v>
      </c>
      <c r="B209" s="30"/>
      <c r="C209" s="30"/>
      <c r="D209" s="30"/>
      <c r="E209" s="31"/>
      <c r="F209" s="6">
        <f>MAX(A107:A198)</f>
        <v>162</v>
      </c>
      <c r="G209" s="6"/>
      <c r="H209" s="6"/>
      <c r="I209" s="6"/>
      <c r="J209" s="6"/>
      <c r="K209" s="6"/>
    </row>
    <row r="210" spans="1:12" ht="18" customHeight="1" x14ac:dyDescent="0.2">
      <c r="A210" s="29" t="s">
        <v>65</v>
      </c>
      <c r="B210" s="30"/>
      <c r="C210" s="30"/>
      <c r="D210" s="30"/>
      <c r="E210" s="31"/>
      <c r="F210" s="6">
        <f>((F206)^2)/((F207-F206)*(F206/F207))</f>
        <v>5.1054065502692048</v>
      </c>
      <c r="G210" s="6"/>
      <c r="H210" s="6"/>
      <c r="I210" s="6"/>
      <c r="J210" s="6"/>
      <c r="K210" s="6"/>
    </row>
    <row r="211" spans="1:12" ht="18" customHeight="1" x14ac:dyDescent="0.2">
      <c r="A211" s="29" t="s">
        <v>64</v>
      </c>
      <c r="B211" s="30"/>
      <c r="C211" s="30"/>
      <c r="D211" s="30"/>
      <c r="E211" s="31"/>
      <c r="F211" s="6">
        <f>F206/(F207-F206)</f>
        <v>6.668063547628103E-2</v>
      </c>
      <c r="G211" s="6"/>
      <c r="H211" s="6"/>
      <c r="I211" s="6"/>
      <c r="J211" s="6"/>
      <c r="K211" s="6"/>
    </row>
    <row r="212" spans="1:12" ht="18" customHeight="1" x14ac:dyDescent="0.2">
      <c r="A212" s="51" t="s">
        <v>63</v>
      </c>
      <c r="B212" s="52"/>
      <c r="C212" s="52"/>
      <c r="D212" s="52"/>
      <c r="E212" s="53"/>
      <c r="F212" s="49">
        <f>B101</f>
        <v>0.96754919074646328</v>
      </c>
      <c r="G212" s="49"/>
      <c r="H212" s="49"/>
      <c r="I212" s="49"/>
      <c r="J212" s="49"/>
      <c r="K212" s="49"/>
    </row>
    <row r="213" spans="1:12" ht="18" customHeight="1" x14ac:dyDescent="0.2">
      <c r="A213" s="51" t="s">
        <v>61</v>
      </c>
      <c r="B213" s="52"/>
      <c r="C213" s="52"/>
      <c r="D213" s="52"/>
      <c r="E213" s="53"/>
      <c r="F213" s="49">
        <f>B102</f>
        <v>0.20426015279235124</v>
      </c>
      <c r="G213" s="49"/>
      <c r="H213" s="49"/>
      <c r="I213" s="49"/>
      <c r="J213" s="49"/>
      <c r="K213" s="49"/>
    </row>
    <row r="214" spans="1:12" ht="18" customHeight="1" x14ac:dyDescent="0.2">
      <c r="A214" s="54" t="s">
        <v>88</v>
      </c>
      <c r="B214" s="55"/>
      <c r="C214" s="55"/>
      <c r="D214" s="55"/>
      <c r="E214" s="56"/>
      <c r="F214" s="50">
        <f>B103</f>
        <v>4.7862559612227349</v>
      </c>
      <c r="G214" s="50"/>
      <c r="H214" s="50"/>
      <c r="I214" s="50"/>
      <c r="J214" s="50"/>
      <c r="K214" s="50"/>
    </row>
    <row r="215" spans="1:12" ht="18" customHeight="1" x14ac:dyDescent="0.2">
      <c r="A215" s="51" t="s">
        <v>66</v>
      </c>
      <c r="B215" s="52"/>
      <c r="C215" s="52"/>
      <c r="D215" s="52"/>
      <c r="E215" s="53"/>
      <c r="F215" s="7">
        <f>G201</f>
        <v>-63412.199601311862</v>
      </c>
      <c r="G215" s="7"/>
      <c r="H215" s="7"/>
      <c r="I215" s="7"/>
      <c r="J215" s="7"/>
      <c r="K215" s="7"/>
    </row>
    <row r="216" spans="1:12" ht="18" customHeight="1" x14ac:dyDescent="0.2">
      <c r="A216" s="51" t="s">
        <v>67</v>
      </c>
      <c r="B216" s="52"/>
      <c r="C216" s="52"/>
      <c r="D216" s="52"/>
      <c r="E216" s="53"/>
      <c r="F216" s="7">
        <f>H201</f>
        <v>-33946.850445614225</v>
      </c>
      <c r="G216" s="7"/>
      <c r="H216" s="7"/>
      <c r="I216" s="7"/>
      <c r="J216" s="7"/>
      <c r="K216" s="7"/>
    </row>
    <row r="217" spans="1:12" ht="18" customHeight="1" x14ac:dyDescent="0.2">
      <c r="A217" s="54" t="s">
        <v>62</v>
      </c>
      <c r="B217" s="55"/>
      <c r="C217" s="55"/>
      <c r="D217" s="55"/>
      <c r="E217" s="56"/>
      <c r="F217" s="8">
        <f>F212/F213</f>
        <v>4.736847483562121</v>
      </c>
      <c r="G217" s="9"/>
      <c r="H217" s="9"/>
      <c r="I217" s="9"/>
      <c r="J217" s="9"/>
      <c r="K217" s="10"/>
    </row>
    <row r="218" spans="1:12" ht="18" customHeight="1" x14ac:dyDescent="0.2">
      <c r="A218" s="29" t="s">
        <v>11</v>
      </c>
      <c r="B218" s="30"/>
      <c r="C218" s="30"/>
      <c r="D218" s="30"/>
      <c r="E218" s="31"/>
      <c r="F218" s="6">
        <f>H201-G201</f>
        <v>29465.349155697637</v>
      </c>
      <c r="G218" s="6"/>
      <c r="H218" s="6"/>
      <c r="I218" s="6"/>
      <c r="J218" s="6"/>
      <c r="K218" s="6"/>
    </row>
    <row r="219" spans="1:12" ht="18" customHeight="1" x14ac:dyDescent="0.2">
      <c r="A219" s="29" t="s">
        <v>12</v>
      </c>
      <c r="B219" s="30"/>
      <c r="C219" s="30"/>
      <c r="D219" s="30"/>
      <c r="E219" s="31"/>
      <c r="F219" s="6">
        <f>2*(H201-G201)</f>
        <v>58930.698311395274</v>
      </c>
      <c r="G219" s="6"/>
      <c r="H219" s="6"/>
      <c r="I219" s="6"/>
      <c r="J219" s="6"/>
      <c r="K219" s="6"/>
    </row>
    <row r="220" spans="1:12" ht="18" customHeight="1" x14ac:dyDescent="0.2">
      <c r="A220" s="29" t="s">
        <v>13</v>
      </c>
      <c r="B220" s="30"/>
      <c r="C220" s="30"/>
      <c r="D220" s="30"/>
      <c r="E220" s="31"/>
      <c r="F220" s="6">
        <v>1</v>
      </c>
      <c r="G220" s="6"/>
      <c r="H220" s="6"/>
      <c r="I220" s="6"/>
      <c r="J220" s="6"/>
      <c r="K220" s="6"/>
      <c r="L220" s="14" t="s">
        <v>60</v>
      </c>
    </row>
    <row r="221" spans="1:12" ht="18" customHeight="1" x14ac:dyDescent="0.2">
      <c r="A221" s="29" t="s">
        <v>14</v>
      </c>
      <c r="B221" s="30"/>
      <c r="C221" s="30"/>
      <c r="D221" s="30"/>
      <c r="E221" s="31"/>
      <c r="F221" s="6">
        <f>CHIDIST(2*(H201-G201),F220)</f>
        <v>0</v>
      </c>
      <c r="G221" s="6"/>
      <c r="H221" s="6"/>
      <c r="I221" s="6"/>
      <c r="J221" s="6"/>
      <c r="K221" s="6"/>
    </row>
    <row r="222" spans="1:12" ht="18" customHeight="1" x14ac:dyDescent="0.2">
      <c r="A222" s="29" t="s">
        <v>15</v>
      </c>
      <c r="B222" s="30"/>
      <c r="C222" s="30"/>
      <c r="D222" s="30"/>
      <c r="E222" s="31"/>
      <c r="F222" s="11">
        <v>0.37409999999999999</v>
      </c>
      <c r="G222" s="11"/>
      <c r="H222" s="11"/>
      <c r="I222" s="11"/>
      <c r="J222" s="11"/>
      <c r="K222" s="11"/>
      <c r="L222" s="14" t="s">
        <v>89</v>
      </c>
    </row>
    <row r="223" spans="1:12" ht="15" customHeight="1" x14ac:dyDescent="0.2"/>
    <row r="224" spans="1:12" ht="25" customHeight="1" x14ac:dyDescent="0.2">
      <c r="A224" s="32" t="s">
        <v>82</v>
      </c>
      <c r="B224" s="33"/>
      <c r="C224" s="33"/>
      <c r="D224" s="33"/>
      <c r="E224" s="33"/>
      <c r="F224" s="34"/>
      <c r="G224" s="20"/>
      <c r="H224" s="21"/>
      <c r="I224" s="21"/>
      <c r="J224" s="21"/>
      <c r="K224" s="21"/>
    </row>
    <row r="225" spans="1:6" ht="34" customHeight="1" x14ac:dyDescent="0.2">
      <c r="A225" s="22" t="s">
        <v>16</v>
      </c>
      <c r="B225" s="22" t="s">
        <v>17</v>
      </c>
      <c r="C225" s="22" t="s">
        <v>6</v>
      </c>
      <c r="D225" s="22" t="s">
        <v>18</v>
      </c>
      <c r="E225" s="22" t="s">
        <v>19</v>
      </c>
      <c r="F225" s="22" t="s">
        <v>20</v>
      </c>
    </row>
    <row r="226" spans="1:6" ht="15" customHeight="1" x14ac:dyDescent="0.2">
      <c r="A226" s="60" t="s">
        <v>21</v>
      </c>
      <c r="B226" s="58">
        <f>SUMIF(A107:A198,1,B107:B198)</f>
        <v>5369</v>
      </c>
      <c r="C226" s="58">
        <f>SUMIF(A107:A198,1,F107:F198)</f>
        <v>1846.3971063842459</v>
      </c>
      <c r="D226" s="58">
        <f t="shared" ref="D226:D258" si="23">B226-C226</f>
        <v>3522.6028936157541</v>
      </c>
      <c r="E226" s="58">
        <f>IF(C226&gt;0,(B226-C226)^2/C226)</f>
        <v>6720.5105029707274</v>
      </c>
      <c r="F226" s="60" t="str">
        <f t="shared" ref="F226:F258" si="24">IF(C226&gt;=5,"YES","NO")</f>
        <v>YES</v>
      </c>
    </row>
    <row r="227" spans="1:6" ht="15" customHeight="1" x14ac:dyDescent="0.2">
      <c r="A227" s="60" t="s">
        <v>22</v>
      </c>
      <c r="B227" s="58">
        <f>SUMIF(A107:A198,2,B107:B198)</f>
        <v>2213</v>
      </c>
      <c r="C227" s="58">
        <f>SUMIF(A107:A198,2,F107:F198)</f>
        <v>1508.3439919685466</v>
      </c>
      <c r="D227" s="58">
        <f t="shared" si="23"/>
        <v>704.65600803145344</v>
      </c>
      <c r="E227" s="58">
        <f t="shared" ref="E227:E258" si="25">IF(C227&gt;0,(B227-C227)^2/C227)</f>
        <v>329.19552323524493</v>
      </c>
      <c r="F227" s="60" t="str">
        <f t="shared" si="24"/>
        <v>YES</v>
      </c>
    </row>
    <row r="228" spans="1:6" ht="15" customHeight="1" x14ac:dyDescent="0.2">
      <c r="A228" s="60" t="s">
        <v>23</v>
      </c>
      <c r="B228" s="58">
        <f>SUMIF(A107:A198,3,B107:B198)</f>
        <v>1186</v>
      </c>
      <c r="C228" s="58">
        <f>SUMIF(A107:A198,3,F107:F198)</f>
        <v>1238.95848206185</v>
      </c>
      <c r="D228" s="58">
        <f t="shared" si="23"/>
        <v>-52.958482061849963</v>
      </c>
      <c r="E228" s="58">
        <f t="shared" si="25"/>
        <v>2.2636761948858233</v>
      </c>
      <c r="F228" s="60" t="str">
        <f t="shared" si="24"/>
        <v>YES</v>
      </c>
    </row>
    <row r="229" spans="1:6" ht="15" customHeight="1" x14ac:dyDescent="0.2">
      <c r="A229" s="60" t="s">
        <v>24</v>
      </c>
      <c r="B229" s="58">
        <f>SUMIF(A107:A198,4,B107:B198)</f>
        <v>803</v>
      </c>
      <c r="C229" s="58">
        <f>SUMIF(A107:A198,4,F107:F198)</f>
        <v>1020.4665311467282</v>
      </c>
      <c r="D229" s="58">
        <f t="shared" si="23"/>
        <v>-217.46653114672824</v>
      </c>
      <c r="E229" s="58">
        <f t="shared" si="25"/>
        <v>46.343207469869554</v>
      </c>
      <c r="F229" s="60" t="str">
        <f t="shared" si="24"/>
        <v>YES</v>
      </c>
    </row>
    <row r="230" spans="1:6" ht="15" customHeight="1" x14ac:dyDescent="0.2">
      <c r="A230" s="60" t="s">
        <v>25</v>
      </c>
      <c r="B230" s="58">
        <f>SUMIF(A107:A198,5,B107:B198)</f>
        <v>545</v>
      </c>
      <c r="C230" s="58">
        <f>SUMIF(A107:A198,5,F107:F198)</f>
        <v>841.8808310193848</v>
      </c>
      <c r="D230" s="58">
        <f t="shared" si="23"/>
        <v>-296.8808310193848</v>
      </c>
      <c r="E230" s="58">
        <f t="shared" si="25"/>
        <v>104.69204735311413</v>
      </c>
      <c r="F230" s="60" t="str">
        <f t="shared" si="24"/>
        <v>YES</v>
      </c>
    </row>
    <row r="231" spans="1:6" ht="15" customHeight="1" x14ac:dyDescent="0.2">
      <c r="A231" s="60" t="s">
        <v>26</v>
      </c>
      <c r="B231" s="58">
        <f>SUMIF(A107:A198,6,B107:B198)</f>
        <v>372</v>
      </c>
      <c r="C231" s="58">
        <f>SUMIF(A107:A198,6,F107:F198)</f>
        <v>695.30453479472897</v>
      </c>
      <c r="D231" s="58">
        <f t="shared" si="23"/>
        <v>-323.30453479472897</v>
      </c>
      <c r="E231" s="58">
        <f t="shared" si="25"/>
        <v>150.33099453276932</v>
      </c>
      <c r="F231" s="60" t="str">
        <f t="shared" si="24"/>
        <v>YES</v>
      </c>
    </row>
    <row r="232" spans="1:6" ht="15" customHeight="1" x14ac:dyDescent="0.2">
      <c r="A232" s="60" t="s">
        <v>27</v>
      </c>
      <c r="B232" s="58">
        <f>SUMIF(A107:A198,7,B107:B198)</f>
        <v>314</v>
      </c>
      <c r="C232" s="58">
        <f>SUMIF(A107:A198,7,F107:F198)</f>
        <v>574.69411376153994</v>
      </c>
      <c r="D232" s="58">
        <f t="shared" si="23"/>
        <v>-260.69411376153994</v>
      </c>
      <c r="E232" s="58">
        <f t="shared" si="25"/>
        <v>118.25668529139351</v>
      </c>
      <c r="F232" s="60" t="str">
        <f t="shared" si="24"/>
        <v>YES</v>
      </c>
    </row>
    <row r="233" spans="1:6" ht="15" customHeight="1" x14ac:dyDescent="0.2">
      <c r="A233" s="60" t="s">
        <v>28</v>
      </c>
      <c r="B233" s="58">
        <f>SUMIF(A107:A198,8,B107:B198)</f>
        <v>258</v>
      </c>
      <c r="C233" s="58">
        <f>SUMIF(A107:A198,8,F107:F198)</f>
        <v>475.2818162265732</v>
      </c>
      <c r="D233" s="58">
        <f t="shared" si="23"/>
        <v>-217.2818162265732</v>
      </c>
      <c r="E233" s="58">
        <f t="shared" si="25"/>
        <v>99.333460803415264</v>
      </c>
      <c r="F233" s="60" t="str">
        <f t="shared" si="24"/>
        <v>YES</v>
      </c>
    </row>
    <row r="234" spans="1:6" ht="15" customHeight="1" x14ac:dyDescent="0.2">
      <c r="A234" s="60" t="s">
        <v>29</v>
      </c>
      <c r="B234" s="58">
        <f>SUMIF(A107:A198,9,B107:B198)</f>
        <v>209</v>
      </c>
      <c r="C234" s="58">
        <f>SUMIF(A107:A198,9,F107:F198)</f>
        <v>393.24403236261213</v>
      </c>
      <c r="D234" s="58">
        <f t="shared" si="23"/>
        <v>-184.24403236261213</v>
      </c>
      <c r="E234" s="58">
        <f t="shared" si="25"/>
        <v>86.322641076810115</v>
      </c>
      <c r="F234" s="60" t="str">
        <f t="shared" si="24"/>
        <v>YES</v>
      </c>
    </row>
    <row r="235" spans="1:6" ht="15" customHeight="1" x14ac:dyDescent="0.2">
      <c r="A235" s="60" t="s">
        <v>30</v>
      </c>
      <c r="B235" s="58">
        <f>SUMIF(A107:A198,10,B107:B198)</f>
        <v>149</v>
      </c>
      <c r="C235" s="58">
        <f>SUMIF(A107:A198,10,F107:F198)</f>
        <v>325.4844252259914</v>
      </c>
      <c r="D235" s="58">
        <f t="shared" si="23"/>
        <v>-176.4844252259914</v>
      </c>
      <c r="E235" s="58">
        <f t="shared" si="25"/>
        <v>95.693526121019872</v>
      </c>
      <c r="F235" s="60" t="str">
        <f t="shared" si="24"/>
        <v>YES</v>
      </c>
    </row>
    <row r="236" spans="1:6" ht="15" customHeight="1" x14ac:dyDescent="0.2">
      <c r="A236" s="60" t="s">
        <v>31</v>
      </c>
      <c r="B236" s="58">
        <f>SUMIF(A107:A198,11,B107:B198)</f>
        <v>136</v>
      </c>
      <c r="C236" s="58">
        <f>SUMIF(A107:A198,11,F107:F198)</f>
        <v>269.48016296453011</v>
      </c>
      <c r="D236" s="58">
        <f t="shared" si="23"/>
        <v>-133.48016296453011</v>
      </c>
      <c r="E236" s="58">
        <f t="shared" si="25"/>
        <v>66.116012804187903</v>
      </c>
      <c r="F236" s="60" t="str">
        <f t="shared" si="24"/>
        <v>YES</v>
      </c>
    </row>
    <row r="237" spans="1:6" ht="15" customHeight="1" x14ac:dyDescent="0.2">
      <c r="A237" s="60" t="s">
        <v>32</v>
      </c>
      <c r="B237" s="58">
        <f>SUMIF(A107:A198,12,B107:B198)</f>
        <v>138</v>
      </c>
      <c r="C237" s="58">
        <f>SUMIF(A107:A198,12,F107:F198)</f>
        <v>223.16724911490616</v>
      </c>
      <c r="D237" s="58">
        <f t="shared" si="23"/>
        <v>-85.167249114906156</v>
      </c>
      <c r="E237" s="58">
        <f t="shared" si="25"/>
        <v>32.502351266003927</v>
      </c>
      <c r="F237" s="60" t="str">
        <f t="shared" si="24"/>
        <v>YES</v>
      </c>
    </row>
    <row r="238" spans="1:6" ht="15" customHeight="1" x14ac:dyDescent="0.2">
      <c r="A238" s="60" t="s">
        <v>33</v>
      </c>
      <c r="B238" s="58">
        <f>SUMIF(A107:A198,13,B107:B198)</f>
        <v>99</v>
      </c>
      <c r="C238" s="58">
        <f>SUMIF(A107:A198,13,F107:F198)</f>
        <v>184.85223057434732</v>
      </c>
      <c r="D238" s="58">
        <f t="shared" si="23"/>
        <v>-85.852230574347317</v>
      </c>
      <c r="E238" s="58">
        <f t="shared" si="25"/>
        <v>39.872959453559034</v>
      </c>
      <c r="F238" s="60" t="str">
        <f t="shared" si="24"/>
        <v>YES</v>
      </c>
    </row>
    <row r="239" spans="1:6" ht="15" customHeight="1" x14ac:dyDescent="0.2">
      <c r="A239" s="60" t="s">
        <v>34</v>
      </c>
      <c r="B239" s="58">
        <f>SUMIF(A107:A198,14,B107:B198)</f>
        <v>89</v>
      </c>
      <c r="C239" s="58">
        <f>SUMIF(A107:A198,14,F107:F198)</f>
        <v>153.14278928730079</v>
      </c>
      <c r="D239" s="58">
        <f t="shared" si="23"/>
        <v>-64.142789287300786</v>
      </c>
      <c r="E239" s="58">
        <f t="shared" si="25"/>
        <v>26.865759966252899</v>
      </c>
      <c r="F239" s="60" t="str">
        <f t="shared" si="24"/>
        <v>YES</v>
      </c>
    </row>
    <row r="240" spans="1:6" ht="15" customHeight="1" x14ac:dyDescent="0.2">
      <c r="A240" s="60" t="s">
        <v>35</v>
      </c>
      <c r="B240" s="58">
        <f>SUMIF(A107:A198,15,B107:B198)</f>
        <v>93</v>
      </c>
      <c r="C240" s="58">
        <f>SUMIF(A107:A198,15,F107:F198)</f>
        <v>126.89241753126026</v>
      </c>
      <c r="D240" s="58">
        <f t="shared" si="23"/>
        <v>-33.892417531260264</v>
      </c>
      <c r="E240" s="58">
        <f t="shared" si="25"/>
        <v>9.0525185701524986</v>
      </c>
      <c r="F240" s="60" t="str">
        <f t="shared" si="24"/>
        <v>YES</v>
      </c>
    </row>
    <row r="241" spans="1:6" ht="15" customHeight="1" x14ac:dyDescent="0.2">
      <c r="A241" s="60" t="s">
        <v>36</v>
      </c>
      <c r="B241" s="58">
        <f>SUMIF(A107:A198,16,B107:B198)</f>
        <v>70</v>
      </c>
      <c r="C241" s="58">
        <f>SUMIF(A107:A198,16,F107:F198)</f>
        <v>105.15589769811272</v>
      </c>
      <c r="D241" s="58">
        <f t="shared" si="23"/>
        <v>-35.155897698112724</v>
      </c>
      <c r="E241" s="58">
        <f t="shared" si="25"/>
        <v>11.753379220900793</v>
      </c>
      <c r="F241" s="60" t="str">
        <f t="shared" si="24"/>
        <v>YES</v>
      </c>
    </row>
    <row r="242" spans="1:6" ht="15" customHeight="1" x14ac:dyDescent="0.2">
      <c r="A242" s="60" t="s">
        <v>37</v>
      </c>
      <c r="B242" s="58">
        <f>SUMIF(A107:A198,17,B107:B198)</f>
        <v>54</v>
      </c>
      <c r="C242" s="58">
        <f>SUMIF(A107:A198,17,F107:F198)</f>
        <v>87.153235451007674</v>
      </c>
      <c r="D242" s="58">
        <f t="shared" si="23"/>
        <v>-33.153235451007674</v>
      </c>
      <c r="E242" s="58">
        <f t="shared" si="25"/>
        <v>12.611545804146548</v>
      </c>
      <c r="F242" s="60" t="str">
        <f t="shared" si="24"/>
        <v>YES</v>
      </c>
    </row>
    <row r="243" spans="1:6" ht="15" customHeight="1" x14ac:dyDescent="0.2">
      <c r="A243" s="60" t="s">
        <v>38</v>
      </c>
      <c r="B243" s="58">
        <f>SUMIF(A107:A198,18,B107:B198)</f>
        <v>62</v>
      </c>
      <c r="C243" s="58">
        <f>SUMIF(A107:A198,18,F107:F198)</f>
        <v>72.240299087264106</v>
      </c>
      <c r="D243" s="58">
        <f t="shared" si="23"/>
        <v>-10.240299087264106</v>
      </c>
      <c r="E243" s="58">
        <f t="shared" si="25"/>
        <v>1.4515959474357913</v>
      </c>
      <c r="F243" s="60" t="str">
        <f t="shared" si="24"/>
        <v>YES</v>
      </c>
    </row>
    <row r="244" spans="1:6" ht="15" customHeight="1" x14ac:dyDescent="0.2">
      <c r="A244" s="60" t="s">
        <v>39</v>
      </c>
      <c r="B244" s="58">
        <f>SUMIF(A107:A198,19,B107:B198)</f>
        <v>54</v>
      </c>
      <c r="C244" s="58">
        <f>SUMIF(A107:A198,19,F107:F198)</f>
        <v>59.884832207198514</v>
      </c>
      <c r="D244" s="58">
        <f t="shared" si="23"/>
        <v>-5.8848322071985137</v>
      </c>
      <c r="E244" s="58">
        <f t="shared" si="25"/>
        <v>0.57829752260236023</v>
      </c>
      <c r="F244" s="60" t="str">
        <f t="shared" si="24"/>
        <v>YES</v>
      </c>
    </row>
    <row r="245" spans="1:6" ht="15" customHeight="1" x14ac:dyDescent="0.2">
      <c r="A245" s="60" t="s">
        <v>40</v>
      </c>
      <c r="B245" s="58">
        <f>SUMIF(A107:A198,20,B107:B198)</f>
        <v>43</v>
      </c>
      <c r="C245" s="58">
        <f>SUMIF(A107:A198,20,F107:F198)</f>
        <v>49.6468030642801</v>
      </c>
      <c r="D245" s="58">
        <f t="shared" si="23"/>
        <v>-6.6468030642800997</v>
      </c>
      <c r="E245" s="58">
        <f t="shared" si="25"/>
        <v>0.88988591910180737</v>
      </c>
      <c r="F245" s="60" t="str">
        <f t="shared" si="24"/>
        <v>YES</v>
      </c>
    </row>
    <row r="246" spans="1:6" ht="15" customHeight="1" x14ac:dyDescent="0.2">
      <c r="A246" s="60" t="s">
        <v>41</v>
      </c>
      <c r="B246" s="58">
        <f>SUMIF(A107:A198,21,B107:B198)</f>
        <v>46</v>
      </c>
      <c r="C246" s="58">
        <f>SUMIF(A107:A198,21,F107:F198)</f>
        <v>41.162272873311863</v>
      </c>
      <c r="D246" s="58">
        <f t="shared" si="23"/>
        <v>4.8377271266881365</v>
      </c>
      <c r="E246" s="58">
        <f t="shared" si="25"/>
        <v>0.56856927760829035</v>
      </c>
      <c r="F246" s="60" t="str">
        <f t="shared" si="24"/>
        <v>YES</v>
      </c>
    </row>
    <row r="247" spans="1:6" ht="15" customHeight="1" x14ac:dyDescent="0.2">
      <c r="A247" s="60" t="s">
        <v>42</v>
      </c>
      <c r="B247" s="58">
        <f>SUMIF(A107:A198,22,B107:B198)</f>
        <v>44</v>
      </c>
      <c r="C247" s="58">
        <f>SUMIF(A107:A198,22,F107:F198)</f>
        <v>34.130131194158508</v>
      </c>
      <c r="D247" s="58">
        <f t="shared" si="23"/>
        <v>9.8698688058414916</v>
      </c>
      <c r="E247" s="58">
        <f t="shared" si="25"/>
        <v>2.854202630817773</v>
      </c>
      <c r="F247" s="60" t="str">
        <f t="shared" si="24"/>
        <v>YES</v>
      </c>
    </row>
    <row r="248" spans="1:6" ht="15" customHeight="1" x14ac:dyDescent="0.2">
      <c r="A248" s="60" t="s">
        <v>43</v>
      </c>
      <c r="B248" s="58">
        <f>SUMIF(A107:A198,23,B107:B198)</f>
        <v>21</v>
      </c>
      <c r="C248" s="58">
        <f>SUMIF(A107:A198,23,F107:F198)</f>
        <v>28.301174584998499</v>
      </c>
      <c r="D248" s="58">
        <f t="shared" si="23"/>
        <v>-7.301174584998499</v>
      </c>
      <c r="E248" s="58">
        <f t="shared" si="25"/>
        <v>1.8835667106510954</v>
      </c>
      <c r="F248" s="60" t="str">
        <f t="shared" si="24"/>
        <v>YES</v>
      </c>
    </row>
    <row r="249" spans="1:6" ht="15" customHeight="1" x14ac:dyDescent="0.2">
      <c r="A249" s="60" t="s">
        <v>44</v>
      </c>
      <c r="B249" s="58">
        <f>SUMIF(A107:A198,24,B107:B198)</f>
        <v>24</v>
      </c>
      <c r="C249" s="58">
        <f>SUMIF(A107:A198,24,F107:F198)</f>
        <v>23.469105092209503</v>
      </c>
      <c r="D249" s="58">
        <f t="shared" si="23"/>
        <v>0.53089490779049697</v>
      </c>
      <c r="E249" s="58">
        <f t="shared" si="25"/>
        <v>1.2009380076935243E-2</v>
      </c>
      <c r="F249" s="60" t="str">
        <f t="shared" si="24"/>
        <v>YES</v>
      </c>
    </row>
    <row r="250" spans="1:6" ht="15" customHeight="1" x14ac:dyDescent="0.2">
      <c r="A250" s="60" t="s">
        <v>45</v>
      </c>
      <c r="B250" s="58">
        <f>SUMIF(A107:A198,25,B107:B198)</f>
        <v>22</v>
      </c>
      <c r="C250" s="58">
        <f>SUMIF(A107:A198,25,F107:F198)</f>
        <v>19.463104695238599</v>
      </c>
      <c r="D250" s="58">
        <f t="shared" si="23"/>
        <v>2.5368953047614013</v>
      </c>
      <c r="E250" s="58">
        <f t="shared" si="25"/>
        <v>0.33066861058887947</v>
      </c>
      <c r="F250" s="60" t="str">
        <f t="shared" si="24"/>
        <v>YES</v>
      </c>
    </row>
    <row r="251" spans="1:6" ht="15" customHeight="1" x14ac:dyDescent="0.2">
      <c r="A251" s="60" t="s">
        <v>46</v>
      </c>
      <c r="B251" s="58">
        <f>SUMIF(A107:A198,26,B107:B198)</f>
        <v>35</v>
      </c>
      <c r="C251" s="58">
        <f>SUMIF(A107:A198,26,F107:F198)</f>
        <v>16.141705421832608</v>
      </c>
      <c r="D251" s="58">
        <f t="shared" si="23"/>
        <v>18.858294578167392</v>
      </c>
      <c r="E251" s="58">
        <f t="shared" si="25"/>
        <v>22.03207561426068</v>
      </c>
      <c r="F251" s="60" t="str">
        <f t="shared" si="24"/>
        <v>YES</v>
      </c>
    </row>
    <row r="252" spans="1:6" ht="15" customHeight="1" x14ac:dyDescent="0.2">
      <c r="A252" s="60" t="s">
        <v>47</v>
      </c>
      <c r="B252" s="58">
        <f>SUMIF(A107:A198,27,B107:B198)</f>
        <v>21</v>
      </c>
      <c r="C252" s="58">
        <f>SUMIF(A107:A198,27,F107:F198)</f>
        <v>13.387726034188875</v>
      </c>
      <c r="D252" s="58">
        <f t="shared" si="23"/>
        <v>7.6122739658111254</v>
      </c>
      <c r="E252" s="58">
        <f t="shared" si="25"/>
        <v>4.3283463362324976</v>
      </c>
      <c r="F252" s="60" t="str">
        <f t="shared" si="24"/>
        <v>YES</v>
      </c>
    </row>
    <row r="253" spans="1:6" ht="15" customHeight="1" x14ac:dyDescent="0.2">
      <c r="A253" s="60" t="s">
        <v>48</v>
      </c>
      <c r="B253" s="58">
        <f>SUMIF(A107:A198,28,B107:B198)</f>
        <v>21</v>
      </c>
      <c r="C253" s="58">
        <f>SUMIF(A107:A198,28,F107:F198)</f>
        <v>11.104087599381247</v>
      </c>
      <c r="D253" s="58">
        <f t="shared" si="23"/>
        <v>9.8959124006187533</v>
      </c>
      <c r="E253" s="58">
        <f t="shared" si="25"/>
        <v>8.819192154623936</v>
      </c>
      <c r="F253" s="60" t="str">
        <f t="shared" si="24"/>
        <v>YES</v>
      </c>
    </row>
    <row r="254" spans="1:6" ht="15" customHeight="1" x14ac:dyDescent="0.2">
      <c r="A254" s="60" t="s">
        <v>49</v>
      </c>
      <c r="B254" s="58">
        <f>SUMIF(A107:A198,29,B107:B198)</f>
        <v>19</v>
      </c>
      <c r="C254" s="58">
        <f>SUMIF(A107:A198,29,F107:F198)</f>
        <v>9.2103539029135302</v>
      </c>
      <c r="D254" s="58">
        <f t="shared" si="23"/>
        <v>9.7896460970864698</v>
      </c>
      <c r="E254" s="58">
        <f t="shared" si="25"/>
        <v>10.405373313167042</v>
      </c>
      <c r="F254" s="60" t="str">
        <f t="shared" si="24"/>
        <v>YES</v>
      </c>
    </row>
    <row r="255" spans="1:6" ht="15" customHeight="1" x14ac:dyDescent="0.2">
      <c r="A255" s="60" t="s">
        <v>50</v>
      </c>
      <c r="B255" s="58">
        <f>SUMIF(A107:A198,30,B107:B198)</f>
        <v>14</v>
      </c>
      <c r="C255" s="58">
        <f>SUMIF(A107:A198,30,F107:F198)</f>
        <v>7.6398700898015779</v>
      </c>
      <c r="D255" s="58">
        <f t="shared" si="23"/>
        <v>6.3601299101984221</v>
      </c>
      <c r="E255" s="58">
        <f t="shared" si="25"/>
        <v>5.2947565860574972</v>
      </c>
      <c r="F255" s="60" t="str">
        <f t="shared" si="24"/>
        <v>YES</v>
      </c>
    </row>
    <row r="256" spans="1:6" ht="15" customHeight="1" x14ac:dyDescent="0.2">
      <c r="A256" s="60" t="s">
        <v>51</v>
      </c>
      <c r="B256" s="58">
        <f>SUMIF(A107:A198,31,B107:B198)</f>
        <v>22</v>
      </c>
      <c r="C256" s="58">
        <f>SUMIF(A107:A198,31,F107:F198)</f>
        <v>6.33739533257397</v>
      </c>
      <c r="D256" s="58">
        <f t="shared" si="23"/>
        <v>15.662604667426031</v>
      </c>
      <c r="E256" s="58">
        <f t="shared" si="25"/>
        <v>38.709465339357116</v>
      </c>
      <c r="F256" s="60" t="str">
        <f t="shared" si="24"/>
        <v>YES</v>
      </c>
    </row>
    <row r="257" spans="1:6" ht="15" customHeight="1" x14ac:dyDescent="0.2">
      <c r="A257" s="60" t="s">
        <v>52</v>
      </c>
      <c r="B257" s="58">
        <f>SUMIF(A107:A198,32,B107:B198)</f>
        <v>11</v>
      </c>
      <c r="C257" s="58">
        <f>SUMIF(A107:A198,32,F107:F198)</f>
        <v>5.2571436850021582</v>
      </c>
      <c r="D257" s="58">
        <f t="shared" si="23"/>
        <v>5.7428563149978418</v>
      </c>
      <c r="E257" s="58">
        <f t="shared" si="25"/>
        <v>6.273444408376875</v>
      </c>
      <c r="F257" s="60" t="str">
        <f t="shared" si="24"/>
        <v>YES</v>
      </c>
    </row>
    <row r="258" spans="1:6" ht="15" customHeight="1" x14ac:dyDescent="0.2">
      <c r="A258" s="60" t="s">
        <v>90</v>
      </c>
      <c r="B258" s="58" cm="1">
        <f t="array" ref="B258">SUMPRODUCT((A107:A198&gt;=33)*B107:B198)</f>
        <v>235</v>
      </c>
      <c r="C258" s="58" cm="1">
        <f t="array" ref="C258">SUMPRODUCT((A107:A198&gt;=33)*F107:F198)</f>
        <v>25.605581110887226</v>
      </c>
      <c r="D258" s="58">
        <f t="shared" si="23"/>
        <v>209.39441888911279</v>
      </c>
      <c r="E258" s="58">
        <f t="shared" si="25"/>
        <v>1712.361944531943</v>
      </c>
      <c r="F258" s="60" t="str">
        <f t="shared" si="24"/>
        <v>YES</v>
      </c>
    </row>
    <row r="259" spans="1:6" ht="15" customHeight="1" x14ac:dyDescent="0.2">
      <c r="A259" s="23" t="s">
        <v>4</v>
      </c>
      <c r="B259" s="2">
        <f>SUM(B226:B258)</f>
        <v>12791</v>
      </c>
      <c r="C259" s="2">
        <f>SUM(C226:C258)</f>
        <v>10492.88143354891</v>
      </c>
      <c r="D259" s="46"/>
      <c r="E259" s="3">
        <f>SUM(E226:E258)</f>
        <v>9768.5101864173575</v>
      </c>
      <c r="F259" s="35"/>
    </row>
    <row r="260" spans="1:6" ht="18" customHeight="1" x14ac:dyDescent="0.2">
      <c r="A260" s="36" t="s">
        <v>53</v>
      </c>
      <c r="B260" s="37"/>
      <c r="C260" s="37"/>
      <c r="D260" s="38"/>
      <c r="E260" s="3">
        <v>30</v>
      </c>
      <c r="F260" s="35"/>
    </row>
    <row r="261" spans="1:6" ht="18" customHeight="1" x14ac:dyDescent="0.2">
      <c r="A261" s="36" t="s">
        <v>54</v>
      </c>
      <c r="B261" s="37"/>
      <c r="C261" s="37"/>
      <c r="D261" s="38"/>
      <c r="E261" s="3">
        <f>CHIDIST(E259,E260)</f>
        <v>0</v>
      </c>
      <c r="F261" s="35"/>
    </row>
    <row r="262" spans="1:6" ht="18" customHeight="1" x14ac:dyDescent="0.2"/>
    <row r="263" spans="1:6" ht="18" customHeight="1" x14ac:dyDescent="0.2"/>
  </sheetData>
  <mergeCells count="49">
    <mergeCell ref="A261:D261"/>
    <mergeCell ref="A221:E221"/>
    <mergeCell ref="F221:K221"/>
    <mergeCell ref="A222:E222"/>
    <mergeCell ref="F222:K222"/>
    <mergeCell ref="A216:E216"/>
    <mergeCell ref="F216:K216"/>
    <mergeCell ref="A217:E217"/>
    <mergeCell ref="F217:K217"/>
    <mergeCell ref="A260:D260"/>
    <mergeCell ref="A218:E218"/>
    <mergeCell ref="F218:K218"/>
    <mergeCell ref="A219:E219"/>
    <mergeCell ref="F219:K219"/>
    <mergeCell ref="A220:E220"/>
    <mergeCell ref="F220:K220"/>
    <mergeCell ref="A213:E213"/>
    <mergeCell ref="F213:K213"/>
    <mergeCell ref="A214:E214"/>
    <mergeCell ref="F214:K214"/>
    <mergeCell ref="A215:E215"/>
    <mergeCell ref="F215:K215"/>
    <mergeCell ref="A210:E210"/>
    <mergeCell ref="F210:K210"/>
    <mergeCell ref="A211:E211"/>
    <mergeCell ref="F211:K211"/>
    <mergeCell ref="A212:E212"/>
    <mergeCell ref="F212:K212"/>
    <mergeCell ref="F207:K207"/>
    <mergeCell ref="A208:E208"/>
    <mergeCell ref="F208:K208"/>
    <mergeCell ref="A209:E209"/>
    <mergeCell ref="F209:K209"/>
    <mergeCell ref="A224:F224"/>
    <mergeCell ref="A4:D4"/>
    <mergeCell ref="A1:K1"/>
    <mergeCell ref="A2:K2"/>
    <mergeCell ref="A100:B100"/>
    <mergeCell ref="A199:B199"/>
    <mergeCell ref="A200:B200"/>
    <mergeCell ref="A203:K203"/>
    <mergeCell ref="A204:E204"/>
    <mergeCell ref="F204:K204"/>
    <mergeCell ref="A105:I105"/>
    <mergeCell ref="A205:E205"/>
    <mergeCell ref="F205:K205"/>
    <mergeCell ref="A206:E206"/>
    <mergeCell ref="F206:K206"/>
    <mergeCell ref="A207:E20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8"/>
  <sheetViews>
    <sheetView showGridLines="0" tabSelected="1" topLeftCell="K78" zoomScale="75" zoomScaleNormal="39" workbookViewId="0">
      <selection activeCell="R2" sqref="R2:S93"/>
    </sheetView>
  </sheetViews>
  <sheetFormatPr baseColWidth="10" defaultColWidth="8.6640625" defaultRowHeight="15" x14ac:dyDescent="0.2"/>
  <cols>
    <col min="1" max="1" width="8" customWidth="1"/>
    <col min="2" max="4" width="18" customWidth="1"/>
    <col min="17" max="17" width="17.33203125" customWidth="1"/>
    <col min="18" max="18" width="20.6640625" customWidth="1"/>
    <col min="19" max="19" width="15.1640625" customWidth="1"/>
  </cols>
  <sheetData>
    <row r="1" spans="1:19" ht="27.75" customHeight="1" x14ac:dyDescent="0.2">
      <c r="A1" s="12" t="s">
        <v>55</v>
      </c>
      <c r="B1" s="12"/>
      <c r="C1" s="12"/>
      <c r="D1" s="12"/>
      <c r="P1" s="61" t="s">
        <v>5</v>
      </c>
      <c r="Q1" s="61" t="s">
        <v>68</v>
      </c>
      <c r="R1" s="61" t="s">
        <v>76</v>
      </c>
      <c r="S1" s="61" t="s">
        <v>78</v>
      </c>
    </row>
    <row r="2" spans="1:19" ht="15" customHeight="1" x14ac:dyDescent="0.2">
      <c r="A2" s="5" t="s">
        <v>56</v>
      </c>
      <c r="B2" s="5"/>
      <c r="C2" s="5"/>
      <c r="D2" s="5"/>
      <c r="P2" s="62">
        <v>1</v>
      </c>
      <c r="Q2" s="62">
        <v>5369</v>
      </c>
      <c r="R2" s="65">
        <v>510.80585457596294</v>
      </c>
      <c r="S2" s="65">
        <v>1846.3971063842459</v>
      </c>
    </row>
    <row r="3" spans="1:19" x14ac:dyDescent="0.2">
      <c r="P3" s="62">
        <v>2</v>
      </c>
      <c r="Q3" s="62">
        <v>2213</v>
      </c>
      <c r="R3" s="65">
        <v>1222.423783245838</v>
      </c>
      <c r="S3" s="65">
        <v>1508.3439919685466</v>
      </c>
    </row>
    <row r="4" spans="1:19" ht="19.5" customHeight="1" x14ac:dyDescent="0.2">
      <c r="A4" s="1" t="s">
        <v>5</v>
      </c>
      <c r="B4" s="1" t="s">
        <v>57</v>
      </c>
      <c r="C4" s="1" t="s">
        <v>58</v>
      </c>
      <c r="D4" s="1" t="s">
        <v>59</v>
      </c>
      <c r="P4" s="62">
        <v>3</v>
      </c>
      <c r="Q4" s="62">
        <v>1186</v>
      </c>
      <c r="R4" s="65">
        <v>1950.277706566947</v>
      </c>
      <c r="S4" s="65">
        <v>1238.95848206185</v>
      </c>
    </row>
    <row r="5" spans="1:19" ht="15" customHeight="1" x14ac:dyDescent="0.2">
      <c r="A5" s="63">
        <v>1</v>
      </c>
      <c r="B5" s="64">
        <f>Model_Calculations!I107</f>
        <v>0.419748260495661</v>
      </c>
      <c r="C5" s="64">
        <f>Model_Calculations!E107/Model_Calculations!E200</f>
        <v>0.17596664158243111</v>
      </c>
      <c r="D5" s="64">
        <f>Model_Calculations!C107/Model_Calculations!C199</f>
        <v>4.0270791436366263E-2</v>
      </c>
      <c r="P5" s="62">
        <v>4</v>
      </c>
      <c r="Q5" s="62">
        <v>803</v>
      </c>
      <c r="R5" s="65">
        <v>2333.6320747739637</v>
      </c>
      <c r="S5" s="65">
        <v>1020.4665311467282</v>
      </c>
    </row>
    <row r="6" spans="1:19" ht="15" customHeight="1" x14ac:dyDescent="0.2">
      <c r="A6" s="63">
        <v>2</v>
      </c>
      <c r="B6" s="64">
        <f>Model_Calculations!I108</f>
        <v>0.17301227425533577</v>
      </c>
      <c r="C6" s="64">
        <f>Model_Calculations!E108/Model_Calculations!E200</f>
        <v>0.14374926482499994</v>
      </c>
      <c r="D6" s="64">
        <f>Model_Calculations!C108/Model_Calculations!C199</f>
        <v>9.6373157787732755E-2</v>
      </c>
      <c r="P6" s="62">
        <v>5</v>
      </c>
      <c r="Q6" s="62">
        <v>545</v>
      </c>
      <c r="R6" s="65">
        <v>2233.8720858374927</v>
      </c>
      <c r="S6" s="65">
        <v>841.8808310193848</v>
      </c>
    </row>
    <row r="7" spans="1:19" ht="15" customHeight="1" x14ac:dyDescent="0.2">
      <c r="A7" s="63">
        <v>3</v>
      </c>
      <c r="B7" s="64">
        <f>Model_Calculations!I109</f>
        <v>9.2721444765850994E-2</v>
      </c>
      <c r="C7" s="64">
        <f>Model_Calculations!E109/Model_Calculations!E200</f>
        <v>0.11807609662876076</v>
      </c>
      <c r="D7" s="64">
        <f>Model_Calculations!C109/Model_Calculations!C199</f>
        <v>0.15375553365446504</v>
      </c>
      <c r="P7" s="62">
        <v>6</v>
      </c>
      <c r="Q7" s="62">
        <v>372</v>
      </c>
      <c r="R7" s="65">
        <v>1781.9805979081273</v>
      </c>
      <c r="S7" s="65">
        <v>695.30453479472897</v>
      </c>
    </row>
    <row r="8" spans="1:19" ht="15" customHeight="1" x14ac:dyDescent="0.2">
      <c r="A8" s="63">
        <v>4</v>
      </c>
      <c r="B8" s="64">
        <f>Model_Calculations!I110</f>
        <v>6.2778516144163868E-2</v>
      </c>
      <c r="C8" s="64">
        <f>Model_Calculations!E110/Model_Calculations!E200</f>
        <v>9.7253222349772225E-2</v>
      </c>
      <c r="D8" s="64">
        <f>Model_Calculations!C110/Model_Calculations!C199</f>
        <v>0.18397833488116655</v>
      </c>
      <c r="P8" s="62">
        <v>7</v>
      </c>
      <c r="Q8" s="62">
        <v>314</v>
      </c>
      <c r="R8" s="65">
        <v>1218.4307513601468</v>
      </c>
      <c r="S8" s="65">
        <v>574.69411376153994</v>
      </c>
    </row>
    <row r="9" spans="1:19" ht="15" customHeight="1" x14ac:dyDescent="0.2">
      <c r="A9" s="63">
        <v>5</v>
      </c>
      <c r="B9" s="64">
        <f>Model_Calculations!I111</f>
        <v>4.2608083808928152E-2</v>
      </c>
      <c r="C9" s="64">
        <f>Model_Calculations!E111/Model_Calculations!E200</f>
        <v>8.0233521778644915E-2</v>
      </c>
      <c r="D9" s="64">
        <f>Model_Calculations!C111/Model_Calculations!C199</f>
        <v>0.17611348041216321</v>
      </c>
      <c r="P9" s="62">
        <v>8</v>
      </c>
      <c r="Q9" s="62">
        <v>258</v>
      </c>
      <c r="R9" s="65">
        <v>728.96518087932475</v>
      </c>
      <c r="S9" s="65">
        <v>475.2818162265732</v>
      </c>
    </row>
    <row r="10" spans="1:19" ht="15" customHeight="1" x14ac:dyDescent="0.2">
      <c r="A10" s="63">
        <v>6</v>
      </c>
      <c r="B10" s="64">
        <f>Model_Calculations!I112</f>
        <v>2.90829489484794E-2</v>
      </c>
      <c r="C10" s="64">
        <f>Model_Calculations!E112/Model_Calculations!E200</f>
        <v>6.6264404034113156E-2</v>
      </c>
      <c r="D10" s="64">
        <f>Model_Calculations!C112/Model_Calculations!C199</f>
        <v>0.14048736591239991</v>
      </c>
      <c r="P10" s="62">
        <v>9</v>
      </c>
      <c r="Q10" s="62">
        <v>209</v>
      </c>
      <c r="R10" s="65">
        <v>387.66821583416419</v>
      </c>
      <c r="S10" s="65">
        <v>393.24403236261213</v>
      </c>
    </row>
    <row r="11" spans="1:19" ht="15" customHeight="1" x14ac:dyDescent="0.2">
      <c r="A11" s="63">
        <v>7</v>
      </c>
      <c r="B11" s="64">
        <f>Model_Calculations!I113</f>
        <v>2.4548510671565944E-2</v>
      </c>
      <c r="C11" s="64">
        <f>Model_Calculations!E113/Model_Calculations!E200</f>
        <v>5.476990447295723E-2</v>
      </c>
      <c r="D11" s="64">
        <f>Model_Calculations!C113/Model_Calculations!C199</f>
        <v>9.6058356082100532E-2</v>
      </c>
      <c r="P11" s="62">
        <v>10</v>
      </c>
      <c r="Q11" s="62">
        <v>149</v>
      </c>
      <c r="R11" s="65">
        <v>185.54793090128501</v>
      </c>
      <c r="S11" s="65">
        <v>325.4844252259914</v>
      </c>
    </row>
    <row r="12" spans="1:19" ht="15" customHeight="1" x14ac:dyDescent="0.2">
      <c r="A12" s="63">
        <v>8</v>
      </c>
      <c r="B12" s="64">
        <f>Model_Calculations!I114</f>
        <v>2.0170432335235713E-2</v>
      </c>
      <c r="C12" s="64">
        <f>Model_Calculations!E114/Model_Calculations!E200</f>
        <v>4.5295643454709593E-2</v>
      </c>
      <c r="D12" s="64">
        <f>Model_Calculations!C114/Model_Calculations!C199</f>
        <v>5.746998492790123E-2</v>
      </c>
      <c r="P12" s="62">
        <v>11</v>
      </c>
      <c r="Q12" s="62">
        <v>136</v>
      </c>
      <c r="R12" s="65">
        <v>80.734535488074499</v>
      </c>
      <c r="S12" s="65">
        <v>269.48016296453011</v>
      </c>
    </row>
    <row r="13" spans="1:19" ht="15" customHeight="1" x14ac:dyDescent="0.2">
      <c r="A13" s="63">
        <v>9</v>
      </c>
      <c r="B13" s="64">
        <f>Model_Calculations!I115</f>
        <v>1.6339613790946759E-2</v>
      </c>
      <c r="C13" s="64">
        <f>Model_Calculations!E115/Model_Calculations!E200</f>
        <v>3.747722061409104E-2</v>
      </c>
      <c r="D13" s="64">
        <f>Model_Calculations!C115/Model_Calculations!C199</f>
        <v>3.0562895328060891E-2</v>
      </c>
      <c r="P13" s="62">
        <v>12</v>
      </c>
      <c r="Q13" s="62">
        <v>138</v>
      </c>
      <c r="R13" s="65">
        <v>32.201345979695418</v>
      </c>
      <c r="S13" s="65">
        <v>223.16724911490616</v>
      </c>
    </row>
    <row r="14" spans="1:19" ht="15" customHeight="1" x14ac:dyDescent="0.2">
      <c r="A14" s="63">
        <v>10</v>
      </c>
      <c r="B14" s="64">
        <f>Model_Calculations!I116</f>
        <v>1.1648815573450082E-2</v>
      </c>
      <c r="C14" s="64">
        <f>Model_Calculations!E116/Model_Calculations!E200</f>
        <v>3.1019546660016536E-2</v>
      </c>
      <c r="D14" s="64">
        <f>Model_Calculations!C116/Model_Calculations!C199</f>
        <v>1.4628183995615791E-2</v>
      </c>
      <c r="P14" s="62">
        <v>13</v>
      </c>
      <c r="Q14" s="62">
        <v>99</v>
      </c>
      <c r="R14" s="65">
        <v>11.85568339651638</v>
      </c>
      <c r="S14" s="65">
        <v>184.85223057434732</v>
      </c>
    </row>
    <row r="15" spans="1:19" ht="15" customHeight="1" x14ac:dyDescent="0.2">
      <c r="A15" s="63">
        <v>11</v>
      </c>
      <c r="B15" s="64">
        <f>Model_Calculations!I117</f>
        <v>1.0632475959659136E-2</v>
      </c>
      <c r="C15" s="64">
        <f>Model_Calculations!E117/Model_Calculations!E200</f>
        <v>2.5682188888832846E-2</v>
      </c>
      <c r="D15" s="64">
        <f>Model_Calculations!C117/Model_Calculations!C199</f>
        <v>6.364930259170825E-3</v>
      </c>
      <c r="P15" s="62">
        <v>14</v>
      </c>
      <c r="Q15" s="62">
        <v>89</v>
      </c>
      <c r="R15" s="65">
        <v>4.0531668093532813</v>
      </c>
      <c r="S15" s="65">
        <v>153.14278928730079</v>
      </c>
    </row>
    <row r="16" spans="1:19" ht="15" customHeight="1" x14ac:dyDescent="0.2">
      <c r="A16" s="63">
        <v>12</v>
      </c>
      <c r="B16" s="64">
        <f>Model_Calculations!I118</f>
        <v>1.0788835900242358E-2</v>
      </c>
      <c r="C16" s="64">
        <f>Model_Calculations!E118/Model_Calculations!E200</f>
        <v>2.1268442851300428E-2</v>
      </c>
      <c r="D16" s="64">
        <f>Model_Calculations!C118/Model_Calculations!C199</f>
        <v>2.5386821163102774E-3</v>
      </c>
      <c r="P16" s="62">
        <v>15</v>
      </c>
      <c r="Q16" s="62">
        <v>93</v>
      </c>
      <c r="R16" s="65">
        <v>1.2932995868731516</v>
      </c>
      <c r="S16" s="65">
        <v>126.89241753126026</v>
      </c>
    </row>
    <row r="17" spans="1:19" ht="15" customHeight="1" x14ac:dyDescent="0.2">
      <c r="A17" s="63">
        <v>13</v>
      </c>
      <c r="B17" s="64">
        <f>Model_Calculations!I119</f>
        <v>7.7398170588695173E-3</v>
      </c>
      <c r="C17" s="64">
        <f>Model_Calculations!E119/Model_Calculations!E200</f>
        <v>1.7616917883329839E-2</v>
      </c>
      <c r="D17" s="64">
        <f>Model_Calculations!C119/Model_Calculations!C199</f>
        <v>9.3467557021843187E-4</v>
      </c>
      <c r="P17" s="62">
        <v>16</v>
      </c>
      <c r="Q17" s="62">
        <v>70</v>
      </c>
      <c r="R17" s="65">
        <v>0.38687892858240763</v>
      </c>
      <c r="S17" s="65">
        <v>105.15589769811272</v>
      </c>
    </row>
    <row r="18" spans="1:19" ht="15" customHeight="1" x14ac:dyDescent="0.2">
      <c r="A18" s="63">
        <v>14</v>
      </c>
      <c r="B18" s="64">
        <f>Model_Calculations!I120</f>
        <v>6.9580173559534051E-3</v>
      </c>
      <c r="C18" s="64">
        <f>Model_Calculations!E120/Model_Calculations!E200</f>
        <v>1.4594922305865111E-2</v>
      </c>
      <c r="D18" s="64">
        <f>Model_Calculations!C120/Model_Calculations!C199</f>
        <v>3.1954260855480206E-4</v>
      </c>
      <c r="P18" s="62">
        <v>17</v>
      </c>
      <c r="Q18" s="62">
        <v>54</v>
      </c>
      <c r="R18" s="65">
        <v>0.10892362224700076</v>
      </c>
      <c r="S18" s="65">
        <v>87.153235451007674</v>
      </c>
    </row>
    <row r="19" spans="1:19" ht="15" customHeight="1" x14ac:dyDescent="0.2">
      <c r="A19" s="63">
        <v>15</v>
      </c>
      <c r="B19" s="64">
        <f>Model_Calculations!I121</f>
        <v>7.27073723711985E-3</v>
      </c>
      <c r="C19" s="64">
        <f>Model_Calculations!E121/Model_Calculations!E200</f>
        <v>1.2093190829884628E-2</v>
      </c>
      <c r="D19" s="64">
        <f>Model_Calculations!C121/Model_Calculations!C199</f>
        <v>1.0196084767067228E-4</v>
      </c>
      <c r="P19" s="62">
        <v>18</v>
      </c>
      <c r="Q19" s="62">
        <v>62</v>
      </c>
      <c r="R19" s="65">
        <v>2.89631297943156E-2</v>
      </c>
      <c r="S19" s="65">
        <v>72.240299087264106</v>
      </c>
    </row>
    <row r="20" spans="1:19" ht="15" customHeight="1" x14ac:dyDescent="0.2">
      <c r="A20" s="63">
        <v>16</v>
      </c>
      <c r="B20" s="64">
        <f>Model_Calculations!I122</f>
        <v>5.4725979204127903E-3</v>
      </c>
      <c r="C20" s="64">
        <f>Model_Calculations!E122/Model_Calculations!E200</f>
        <v>1.0021641659067798E-2</v>
      </c>
      <c r="D20" s="64">
        <f>Model_Calculations!C122/Model_Calculations!C199</f>
        <v>3.0500669685942401E-5</v>
      </c>
      <c r="P20" s="62">
        <v>19</v>
      </c>
      <c r="Q20" s="62">
        <v>54</v>
      </c>
      <c r="R20" s="65">
        <v>7.2960501386163615E-3</v>
      </c>
      <c r="S20" s="65">
        <v>59.884832207198514</v>
      </c>
    </row>
    <row r="21" spans="1:19" ht="15" customHeight="1" x14ac:dyDescent="0.2">
      <c r="A21" s="63">
        <v>17</v>
      </c>
      <c r="B21" s="64">
        <f>Model_Calculations!I123</f>
        <v>4.22171839574701E-3</v>
      </c>
      <c r="C21" s="64">
        <f>Model_Calculations!E123/Model_Calculations!E200</f>
        <v>8.3059392220284235E-3</v>
      </c>
      <c r="D21" s="64">
        <f>Model_Calculations!C123/Model_Calculations!C199</f>
        <v>8.5872948297427875E-6</v>
      </c>
      <c r="P21" s="62">
        <v>20</v>
      </c>
      <c r="Q21" s="62">
        <v>43</v>
      </c>
      <c r="R21" s="65">
        <v>1.7460381734666264E-3</v>
      </c>
      <c r="S21" s="65">
        <v>49.6468030642801</v>
      </c>
    </row>
    <row r="22" spans="1:19" ht="15" customHeight="1" x14ac:dyDescent="0.2">
      <c r="A22" s="63">
        <v>18</v>
      </c>
      <c r="B22" s="64">
        <f>Model_Calculations!I124</f>
        <v>4.8471581580798997E-3</v>
      </c>
      <c r="C22" s="64">
        <f>Model_Calculations!E124/Model_Calculations!E200</f>
        <v>6.8846960241340481E-3</v>
      </c>
      <c r="D22" s="64">
        <f>Model_Calculations!C124/Model_Calculations!C199</f>
        <v>2.2833883927574218E-6</v>
      </c>
      <c r="P22" s="62">
        <v>21</v>
      </c>
      <c r="Q22" s="62">
        <v>46</v>
      </c>
      <c r="R22" s="65">
        <v>3.9795169601319506E-4</v>
      </c>
      <c r="S22" s="65">
        <v>41.162272873311863</v>
      </c>
    </row>
    <row r="23" spans="1:19" ht="15" customHeight="1" x14ac:dyDescent="0.2">
      <c r="A23" s="63">
        <v>19</v>
      </c>
      <c r="B23" s="64">
        <f>Model_Calculations!I125</f>
        <v>4.22171839574701E-3</v>
      </c>
      <c r="C23" s="64">
        <f>Model_Calculations!E125/Model_Calculations!E200</f>
        <v>5.7071865899226363E-3</v>
      </c>
      <c r="D23" s="64">
        <f>Model_Calculations!C125/Model_Calculations!C199</f>
        <v>5.7520427929589526E-7</v>
      </c>
      <c r="P23" s="62">
        <v>22</v>
      </c>
      <c r="Q23" s="62">
        <v>44</v>
      </c>
      <c r="R23" s="65">
        <v>8.6577212605538746E-5</v>
      </c>
      <c r="S23" s="65">
        <v>34.130131194158508</v>
      </c>
    </row>
    <row r="24" spans="1:19" ht="15" customHeight="1" x14ac:dyDescent="0.2">
      <c r="A24" s="63">
        <v>20</v>
      </c>
      <c r="B24" s="64">
        <f>Model_Calculations!I126</f>
        <v>3.3617387225392853E-3</v>
      </c>
      <c r="C24" s="64">
        <f>Model_Calculations!E126/Model_Calculations!E200</f>
        <v>4.7314747029871419E-3</v>
      </c>
      <c r="D24" s="64">
        <f>Model_Calculations!C126/Model_Calculations!C199</f>
        <v>1.3765374553504032E-7</v>
      </c>
      <c r="P24" s="62">
        <v>23</v>
      </c>
      <c r="Q24" s="62">
        <v>21</v>
      </c>
      <c r="R24" s="65">
        <v>1.8016552171274258E-5</v>
      </c>
      <c r="S24" s="65">
        <v>28.301174584998499</v>
      </c>
    </row>
    <row r="25" spans="1:19" ht="15" customHeight="1" x14ac:dyDescent="0.2">
      <c r="A25" s="63">
        <v>21</v>
      </c>
      <c r="B25" s="64">
        <f>Model_Calculations!I127</f>
        <v>3.5962786334141194E-3</v>
      </c>
      <c r="C25" s="64">
        <f>Model_Calculations!E127/Model_Calculations!E200</f>
        <v>3.9228760120841233E-3</v>
      </c>
      <c r="D25" s="64">
        <f>Model_Calculations!C127/Model_Calculations!C199</f>
        <v>3.1373621911986863E-8</v>
      </c>
      <c r="P25" s="62">
        <v>24</v>
      </c>
      <c r="Q25" s="62">
        <v>24</v>
      </c>
      <c r="R25" s="65">
        <v>3.5929929262684092E-6</v>
      </c>
      <c r="S25" s="65">
        <v>23.469105092209503</v>
      </c>
    </row>
    <row r="26" spans="1:19" ht="15" customHeight="1" x14ac:dyDescent="0.2">
      <c r="A26" s="63">
        <v>22</v>
      </c>
      <c r="B26" s="64">
        <f>Model_Calculations!I128</f>
        <v>3.4399186928308965E-3</v>
      </c>
      <c r="C26" s="64">
        <f>Model_Calculations!E128/Model_Calculations!E200</f>
        <v>3.2526938773018246E-3</v>
      </c>
      <c r="D26" s="64">
        <f>Model_Calculations!C128/Model_Calculations!C199</f>
        <v>6.8255538591543337E-9</v>
      </c>
      <c r="P26" s="62">
        <v>25</v>
      </c>
      <c r="Q26" s="62">
        <v>22</v>
      </c>
      <c r="R26" s="65">
        <v>6.8787935247933168E-7</v>
      </c>
      <c r="S26" s="65">
        <v>19.463104695238599</v>
      </c>
    </row>
    <row r="27" spans="1:19" ht="15" customHeight="1" x14ac:dyDescent="0.2">
      <c r="A27" s="63">
        <v>23</v>
      </c>
      <c r="B27" s="64">
        <f>Model_Calculations!I129</f>
        <v>1.641779376123837E-3</v>
      </c>
      <c r="C27" s="64">
        <f>Model_Calculations!E129/Model_Calculations!E200</f>
        <v>2.6971785361560568E-3</v>
      </c>
      <c r="D27" s="64">
        <f>Model_Calculations!C129/Model_Calculations!C199</f>
        <v>1.4203846890010553E-9</v>
      </c>
      <c r="P27" s="62">
        <v>26</v>
      </c>
      <c r="Q27" s="62">
        <v>35</v>
      </c>
      <c r="R27" s="65">
        <v>1.2662948659254757E-7</v>
      </c>
      <c r="S27" s="65">
        <v>16.141705421832608</v>
      </c>
    </row>
    <row r="28" spans="1:19" ht="15" customHeight="1" x14ac:dyDescent="0.2">
      <c r="A28" s="63">
        <v>24</v>
      </c>
      <c r="B28" s="64">
        <f>Model_Calculations!I130</f>
        <v>1.8763192869986709E-3</v>
      </c>
      <c r="C28" s="64">
        <f>Model_Calculations!E130/Model_Calculations!E200</f>
        <v>2.2366692353133527E-3</v>
      </c>
      <c r="D28" s="64">
        <f>Model_Calculations!C130/Model_Calculations!C199</f>
        <v>2.8326352854003337E-10</v>
      </c>
      <c r="P28" s="62">
        <v>27</v>
      </c>
      <c r="Q28" s="62">
        <v>21</v>
      </c>
      <c r="R28" s="65">
        <v>2.2447449447042781E-8</v>
      </c>
      <c r="S28" s="65">
        <v>13.387726034188875</v>
      </c>
    </row>
    <row r="29" spans="1:19" ht="15" customHeight="1" x14ac:dyDescent="0.2">
      <c r="A29" s="63">
        <v>25</v>
      </c>
      <c r="B29" s="64">
        <f>Model_Calculations!I131</f>
        <v>1.7199593464154483E-3</v>
      </c>
      <c r="C29" s="64">
        <f>Model_Calculations!E131/Model_Calculations!E200</f>
        <v>1.8548865550895475E-3</v>
      </c>
      <c r="D29" s="64">
        <f>Model_Calculations!C131/Model_Calculations!C199</f>
        <v>5.4230870082868842E-11</v>
      </c>
      <c r="P29" s="62">
        <v>28</v>
      </c>
      <c r="Q29" s="62">
        <v>21</v>
      </c>
      <c r="R29" s="65">
        <v>3.8371156689340901E-9</v>
      </c>
      <c r="S29" s="65">
        <v>11.104087599381247</v>
      </c>
    </row>
    <row r="30" spans="1:19" x14ac:dyDescent="0.2">
      <c r="P30" s="62">
        <v>29</v>
      </c>
      <c r="Q30" s="62">
        <v>19</v>
      </c>
      <c r="R30" s="65">
        <v>6.3329026704610169E-10</v>
      </c>
      <c r="S30" s="65">
        <v>9.2103539029135302</v>
      </c>
    </row>
    <row r="31" spans="1:19" x14ac:dyDescent="0.2">
      <c r="P31" s="62">
        <v>30</v>
      </c>
      <c r="Q31" s="62">
        <v>14</v>
      </c>
      <c r="R31" s="65">
        <v>1.010363105277914E-10</v>
      </c>
      <c r="S31" s="65">
        <v>7.6398700898015779</v>
      </c>
    </row>
    <row r="32" spans="1:19" x14ac:dyDescent="0.2">
      <c r="P32" s="62">
        <v>31</v>
      </c>
      <c r="Q32" s="62">
        <v>22</v>
      </c>
      <c r="R32" s="65">
        <v>1.559953688914816E-11</v>
      </c>
      <c r="S32" s="65">
        <v>6.33739533257397</v>
      </c>
    </row>
    <row r="33" spans="16:19" x14ac:dyDescent="0.2">
      <c r="P33" s="62">
        <v>32</v>
      </c>
      <c r="Q33" s="62">
        <v>11</v>
      </c>
      <c r="R33" s="65">
        <v>2.3332305133749794E-12</v>
      </c>
      <c r="S33" s="65">
        <v>5.2571436850021582</v>
      </c>
    </row>
    <row r="34" spans="16:19" x14ac:dyDescent="0.2">
      <c r="P34" s="62">
        <v>33</v>
      </c>
      <c r="Q34" s="62">
        <v>8</v>
      </c>
      <c r="R34" s="65">
        <v>3.3840722586508414E-13</v>
      </c>
      <c r="S34" s="65">
        <v>4.3611623445985579</v>
      </c>
    </row>
    <row r="35" spans="16:19" x14ac:dyDescent="0.2">
      <c r="P35" s="62">
        <v>34</v>
      </c>
      <c r="Q35" s="62">
        <v>17</v>
      </c>
      <c r="R35" s="65">
        <v>4.7638341238753166E-14</v>
      </c>
      <c r="S35" s="65">
        <v>3.6179889254359643</v>
      </c>
    </row>
    <row r="36" spans="16:19" x14ac:dyDescent="0.2">
      <c r="P36" s="62">
        <v>35</v>
      </c>
      <c r="Q36" s="62">
        <v>9</v>
      </c>
      <c r="R36" s="65">
        <v>6.5145512781927188E-15</v>
      </c>
      <c r="S36" s="65">
        <v>3.0015395268304226</v>
      </c>
    </row>
    <row r="37" spans="16:19" x14ac:dyDescent="0.2">
      <c r="P37" s="62">
        <v>36</v>
      </c>
      <c r="Q37" s="62">
        <v>12</v>
      </c>
      <c r="R37" s="65">
        <v>8.6611971916503029E-16</v>
      </c>
      <c r="S37" s="65">
        <v>2.4901877704958477</v>
      </c>
    </row>
    <row r="38" spans="16:19" x14ac:dyDescent="0.2">
      <c r="P38" s="62">
        <v>37</v>
      </c>
      <c r="Q38" s="62">
        <v>10</v>
      </c>
      <c r="R38" s="65">
        <v>1.1203974781043749E-16</v>
      </c>
      <c r="S38" s="65">
        <v>2.0660018919376055</v>
      </c>
    </row>
    <row r="39" spans="16:19" x14ac:dyDescent="0.2">
      <c r="P39" s="62">
        <v>38</v>
      </c>
      <c r="Q39" s="62">
        <v>11</v>
      </c>
      <c r="R39" s="65">
        <v>1.4111866075042065E-17</v>
      </c>
      <c r="S39" s="65">
        <v>1.7141126743042612</v>
      </c>
    </row>
    <row r="40" spans="16:19" x14ac:dyDescent="0.2">
      <c r="P40" s="62">
        <v>39</v>
      </c>
      <c r="Q40" s="62">
        <v>4</v>
      </c>
      <c r="R40" s="65">
        <v>1.7318718750165885E-18</v>
      </c>
      <c r="S40" s="65">
        <v>1.4221897196521693</v>
      </c>
    </row>
    <row r="41" spans="16:19" x14ac:dyDescent="0.2">
      <c r="P41" s="62">
        <v>40</v>
      </c>
      <c r="Q41" s="62">
        <v>8</v>
      </c>
      <c r="R41" s="65">
        <v>2.0722955214680356E-19</v>
      </c>
      <c r="S41" s="65">
        <v>1.1800074395671936</v>
      </c>
    </row>
    <row r="42" spans="16:19" x14ac:dyDescent="0.2">
      <c r="P42" s="62">
        <v>41</v>
      </c>
      <c r="Q42" s="62">
        <v>5</v>
      </c>
      <c r="R42" s="65">
        <v>2.4191553153759906E-20</v>
      </c>
      <c r="S42" s="65">
        <v>0.97908535861206669</v>
      </c>
    </row>
    <row r="43" spans="16:19" x14ac:dyDescent="0.2">
      <c r="P43" s="62">
        <v>42</v>
      </c>
      <c r="Q43" s="62">
        <v>9</v>
      </c>
      <c r="R43" s="65">
        <v>2.7568325117480951E-21</v>
      </c>
      <c r="S43" s="65">
        <v>0.8123899785950075</v>
      </c>
    </row>
    <row r="44" spans="16:19" x14ac:dyDescent="0.2">
      <c r="P44" s="62">
        <v>43</v>
      </c>
      <c r="Q44" s="62">
        <v>13</v>
      </c>
      <c r="R44" s="65">
        <v>3.0685828008016201E-22</v>
      </c>
      <c r="S44" s="65">
        <v>0.67408764657841946</v>
      </c>
    </row>
    <row r="45" spans="16:19" x14ac:dyDescent="0.2">
      <c r="P45" s="62">
        <v>44</v>
      </c>
      <c r="Q45" s="62">
        <v>10</v>
      </c>
      <c r="R45" s="65">
        <v>3.3379597097368887E-23</v>
      </c>
      <c r="S45" s="65">
        <v>0.55933968501680487</v>
      </c>
    </row>
    <row r="46" spans="16:19" x14ac:dyDescent="0.2">
      <c r="P46" s="62">
        <v>45</v>
      </c>
      <c r="Q46" s="62">
        <v>4</v>
      </c>
      <c r="R46" s="65">
        <v>3.550295457566554E-24</v>
      </c>
      <c r="S46" s="65">
        <v>0.46413254445079549</v>
      </c>
    </row>
    <row r="47" spans="16:19" x14ac:dyDescent="0.2">
      <c r="P47" s="62">
        <v>46</v>
      </c>
      <c r="Q47" s="62">
        <v>4</v>
      </c>
      <c r="R47" s="65">
        <v>3.6940484343217208E-25</v>
      </c>
      <c r="S47" s="65">
        <v>0.38513698221229392</v>
      </c>
    </row>
    <row r="48" spans="16:19" x14ac:dyDescent="0.2">
      <c r="P48" s="62">
        <v>47</v>
      </c>
      <c r="Q48" s="62">
        <v>4</v>
      </c>
      <c r="R48" s="65">
        <v>3.7618428382591168E-26</v>
      </c>
      <c r="S48" s="65">
        <v>0.31959129950677884</v>
      </c>
    </row>
    <row r="49" spans="16:19" x14ac:dyDescent="0.2">
      <c r="P49" s="62">
        <v>48</v>
      </c>
      <c r="Q49" s="62">
        <v>10</v>
      </c>
      <c r="R49" s="65">
        <v>3.7510713978751559E-27</v>
      </c>
      <c r="S49" s="65">
        <v>0.26520452108568959</v>
      </c>
    </row>
    <row r="50" spans="16:19" x14ac:dyDescent="0.2">
      <c r="P50" s="62">
        <v>49</v>
      </c>
      <c r="Q50" s="62">
        <v>9</v>
      </c>
      <c r="R50" s="65">
        <v>3.663997518173891E-28</v>
      </c>
      <c r="S50" s="65">
        <v>0.2200761071021092</v>
      </c>
    </row>
    <row r="51" spans="16:19" x14ac:dyDescent="0.2">
      <c r="P51" s="62">
        <v>50</v>
      </c>
      <c r="Q51" s="62">
        <v>10</v>
      </c>
      <c r="R51" s="65">
        <v>3.5073659926530182E-29</v>
      </c>
      <c r="S51" s="65">
        <v>0.18262937093508178</v>
      </c>
    </row>
    <row r="52" spans="16:19" x14ac:dyDescent="0.2">
      <c r="P52" s="62">
        <v>51</v>
      </c>
      <c r="Q52" s="62">
        <v>5</v>
      </c>
      <c r="R52" s="65">
        <v>3.2915983118677264E-30</v>
      </c>
      <c r="S52" s="65">
        <v>0.15155626066386474</v>
      </c>
    </row>
    <row r="53" spans="16:19" x14ac:dyDescent="0.2">
      <c r="P53" s="62">
        <v>53</v>
      </c>
      <c r="Q53" s="62">
        <v>2</v>
      </c>
      <c r="R53" s="65">
        <v>2.9725343475712444E-31</v>
      </c>
      <c r="S53" s="65">
        <v>0.1257730445811929</v>
      </c>
    </row>
    <row r="54" spans="16:19" x14ac:dyDescent="0.2">
      <c r="P54" s="62">
        <v>54</v>
      </c>
      <c r="Q54" s="62">
        <v>1</v>
      </c>
      <c r="R54" s="65">
        <v>2.6346870816670741E-32</v>
      </c>
      <c r="S54" s="65">
        <v>0.10437733252371273</v>
      </c>
    </row>
    <row r="55" spans="16:19" x14ac:dyDescent="0.2">
      <c r="P55" s="62">
        <v>55</v>
      </c>
      <c r="Q55" s="62">
        <v>2</v>
      </c>
      <c r="R55" s="65">
        <v>2.2927794091973755E-33</v>
      </c>
      <c r="S55" s="65">
        <v>8.6622270212849864E-2</v>
      </c>
    </row>
    <row r="56" spans="16:19" x14ac:dyDescent="0.2">
      <c r="P56" s="62">
        <v>56</v>
      </c>
      <c r="Q56" s="62">
        <v>2</v>
      </c>
      <c r="R56" s="65">
        <v>1.9596123419713713E-34</v>
      </c>
      <c r="S56" s="65">
        <v>7.1888183170722986E-2</v>
      </c>
    </row>
    <row r="57" spans="16:19" x14ac:dyDescent="0.2">
      <c r="P57" s="62">
        <v>57</v>
      </c>
      <c r="Q57" s="62">
        <v>3</v>
      </c>
      <c r="R57" s="65">
        <v>1.6454747813063366E-35</v>
      </c>
      <c r="S57" s="65">
        <v>5.9660909785100677E-2</v>
      </c>
    </row>
    <row r="58" spans="16:19" x14ac:dyDescent="0.2">
      <c r="P58" s="62">
        <v>58</v>
      </c>
      <c r="Q58" s="62">
        <v>1</v>
      </c>
      <c r="R58" s="65">
        <v>1.3578730139774363E-36</v>
      </c>
      <c r="S58" s="65">
        <v>4.9513827692483768E-2</v>
      </c>
    </row>
    <row r="59" spans="16:19" x14ac:dyDescent="0.2">
      <c r="P59" s="62">
        <v>59</v>
      </c>
      <c r="Q59" s="62">
        <v>3</v>
      </c>
      <c r="R59" s="65">
        <v>1.1015470860564383E-37</v>
      </c>
      <c r="S59" s="65">
        <v>4.1092943491792287E-2</v>
      </c>
    </row>
    <row r="60" spans="16:19" x14ac:dyDescent="0.2">
      <c r="P60" s="62">
        <v>60</v>
      </c>
      <c r="Q60" s="62">
        <v>2</v>
      </c>
      <c r="R60" s="65">
        <v>8.7871438453419356E-39</v>
      </c>
      <c r="S60" s="65">
        <v>3.4104523352958105E-2</v>
      </c>
    </row>
    <row r="61" spans="16:19" x14ac:dyDescent="0.2">
      <c r="P61" s="62">
        <v>61</v>
      </c>
      <c r="Q61" s="62">
        <v>2</v>
      </c>
      <c r="R61" s="65">
        <v>6.8946753462113942E-40</v>
      </c>
      <c r="S61" s="65">
        <v>2.8304831255300106E-2</v>
      </c>
    </row>
    <row r="62" spans="16:19" x14ac:dyDescent="0.2">
      <c r="P62" s="62">
        <v>62</v>
      </c>
      <c r="Q62" s="62">
        <v>4</v>
      </c>
      <c r="R62" s="65">
        <v>5.3225291897580172E-41</v>
      </c>
      <c r="S62" s="65">
        <v>2.34916155257647E-2</v>
      </c>
    </row>
    <row r="63" spans="16:19" x14ac:dyDescent="0.2">
      <c r="P63" s="62">
        <v>63</v>
      </c>
      <c r="Q63" s="62">
        <v>3</v>
      </c>
      <c r="R63" s="65">
        <v>4.0436487402002107E-42</v>
      </c>
      <c r="S63" s="65">
        <v>1.9497045653429357E-2</v>
      </c>
    </row>
    <row r="64" spans="16:19" x14ac:dyDescent="0.2">
      <c r="P64" s="62">
        <v>64</v>
      </c>
      <c r="Q64" s="62">
        <v>2</v>
      </c>
      <c r="R64" s="65">
        <v>3.0240527949803218E-43</v>
      </c>
      <c r="S64" s="65">
        <v>1.6181852193882604E-2</v>
      </c>
    </row>
    <row r="65" spans="16:19" x14ac:dyDescent="0.2">
      <c r="P65" s="62">
        <v>65</v>
      </c>
      <c r="Q65" s="62">
        <v>7</v>
      </c>
      <c r="R65" s="65">
        <v>2.2267524180041291E-44</v>
      </c>
      <c r="S65" s="65">
        <v>1.3430464735046457E-2</v>
      </c>
    </row>
    <row r="66" spans="16:19" x14ac:dyDescent="0.2">
      <c r="P66" s="62">
        <v>66</v>
      </c>
      <c r="Q66" s="62">
        <v>2</v>
      </c>
      <c r="R66" s="65">
        <v>1.6148192477029398E-45</v>
      </c>
      <c r="S66" s="65">
        <v>1.1146977858077911E-2</v>
      </c>
    </row>
    <row r="67" spans="16:19" x14ac:dyDescent="0.2">
      <c r="P67" s="62">
        <v>67</v>
      </c>
      <c r="Q67" s="62">
        <v>1</v>
      </c>
      <c r="R67" s="65">
        <v>1.1535728732261802E-46</v>
      </c>
      <c r="S67" s="65">
        <v>9.251804022678032E-3</v>
      </c>
    </row>
    <row r="68" spans="16:19" x14ac:dyDescent="0.2">
      <c r="P68" s="62">
        <v>68</v>
      </c>
      <c r="Q68" s="62">
        <v>3</v>
      </c>
      <c r="R68" s="65">
        <v>8.1195515311524154E-48</v>
      </c>
      <c r="S68" s="65">
        <v>7.6788963546041986E-3</v>
      </c>
    </row>
    <row r="69" spans="16:19" x14ac:dyDescent="0.2">
      <c r="P69" s="62">
        <v>70</v>
      </c>
      <c r="Q69" s="62">
        <v>2</v>
      </c>
      <c r="R69" s="65">
        <v>5.5517502740619199E-49</v>
      </c>
      <c r="S69" s="65">
        <v>6.3734871000093399E-3</v>
      </c>
    </row>
    <row r="70" spans="16:19" x14ac:dyDescent="0.2">
      <c r="P70" s="62">
        <v>72</v>
      </c>
      <c r="Q70" s="62">
        <v>1</v>
      </c>
      <c r="R70" s="65">
        <v>3.6905691450623358E-50</v>
      </c>
      <c r="S70" s="65">
        <v>5.2900650398290229E-3</v>
      </c>
    </row>
    <row r="71" spans="16:19" x14ac:dyDescent="0.2">
      <c r="P71" s="62">
        <v>74</v>
      </c>
      <c r="Q71" s="62">
        <v>1</v>
      </c>
      <c r="R71" s="65">
        <v>2.3870281852512566E-51</v>
      </c>
      <c r="S71" s="65">
        <v>4.390866213342233E-3</v>
      </c>
    </row>
    <row r="72" spans="16:19" x14ac:dyDescent="0.2">
      <c r="P72" s="62">
        <v>75</v>
      </c>
      <c r="Q72" s="62">
        <v>2</v>
      </c>
      <c r="R72" s="65">
        <v>1.5233237175020683E-52</v>
      </c>
      <c r="S72" s="65">
        <v>3.6445334293752521E-3</v>
      </c>
    </row>
    <row r="73" spans="16:19" x14ac:dyDescent="0.2">
      <c r="P73" s="62">
        <v>78</v>
      </c>
      <c r="Q73" s="62">
        <v>1</v>
      </c>
      <c r="R73" s="65">
        <v>9.347457979187502E-54</v>
      </c>
      <c r="S73" s="65">
        <v>3.02510812448597E-3</v>
      </c>
    </row>
    <row r="74" spans="16:19" x14ac:dyDescent="0.2">
      <c r="P74" s="62">
        <v>80</v>
      </c>
      <c r="Q74" s="62">
        <v>1</v>
      </c>
      <c r="R74" s="65">
        <v>5.5924158093956505E-55</v>
      </c>
      <c r="S74" s="65">
        <v>2.5109865400681289E-3</v>
      </c>
    </row>
    <row r="75" spans="16:19" x14ac:dyDescent="0.2">
      <c r="P75" s="62">
        <v>81</v>
      </c>
      <c r="Q75" s="62">
        <v>1</v>
      </c>
      <c r="R75" s="65">
        <v>3.3045350006612589E-56</v>
      </c>
      <c r="S75" s="65">
        <v>2.0842511184595153E-3</v>
      </c>
    </row>
    <row r="76" spans="16:19" x14ac:dyDescent="0.2">
      <c r="P76" s="62">
        <v>82</v>
      </c>
      <c r="Q76" s="62">
        <v>2</v>
      </c>
      <c r="R76" s="65">
        <v>1.9288232129248934E-57</v>
      </c>
      <c r="S76" s="65">
        <v>1.7300466919923168E-3</v>
      </c>
    </row>
    <row r="77" spans="16:19" x14ac:dyDescent="0.2">
      <c r="P77" s="62">
        <v>83</v>
      </c>
      <c r="Q77" s="62">
        <v>2</v>
      </c>
      <c r="R77" s="65">
        <v>1.1122700724104288E-58</v>
      </c>
      <c r="S77" s="65">
        <v>1.4360437696037591E-3</v>
      </c>
    </row>
    <row r="78" spans="16:19" x14ac:dyDescent="0.2">
      <c r="P78" s="62">
        <v>84</v>
      </c>
      <c r="Q78" s="62">
        <v>1</v>
      </c>
      <c r="R78" s="65">
        <v>6.337630076861973E-60</v>
      </c>
      <c r="S78" s="65">
        <v>1.1920090480911805E-3</v>
      </c>
    </row>
    <row r="79" spans="16:19" x14ac:dyDescent="0.2">
      <c r="P79" s="62">
        <v>86</v>
      </c>
      <c r="Q79" s="62">
        <v>1</v>
      </c>
      <c r="R79" s="65">
        <v>3.5271534576052463E-61</v>
      </c>
      <c r="S79" s="65">
        <v>9.894533657071223E-4</v>
      </c>
    </row>
    <row r="80" spans="16:19" x14ac:dyDescent="0.2">
      <c r="P80" s="62">
        <v>87</v>
      </c>
      <c r="Q80" s="62">
        <v>2</v>
      </c>
      <c r="R80" s="65">
        <v>1.9404435934035047E-62</v>
      </c>
      <c r="S80" s="65">
        <v>8.2132112357754367E-4</v>
      </c>
    </row>
    <row r="81" spans="16:19" x14ac:dyDescent="0.2">
      <c r="P81" s="62">
        <v>88</v>
      </c>
      <c r="Q81" s="62">
        <v>1</v>
      </c>
      <c r="R81" s="65">
        <v>1.0553931495845441E-63</v>
      </c>
      <c r="S81" s="65">
        <v>6.8176153795057159E-4</v>
      </c>
    </row>
    <row r="82" spans="16:19" x14ac:dyDescent="0.2">
      <c r="P82" s="62">
        <v>90</v>
      </c>
      <c r="Q82" s="62">
        <v>2</v>
      </c>
      <c r="R82" s="65">
        <v>5.6126463929251805E-65</v>
      </c>
      <c r="S82" s="65">
        <v>5.6592067530429428E-4</v>
      </c>
    </row>
    <row r="83" spans="16:19" x14ac:dyDescent="0.2">
      <c r="P83" s="62">
        <v>92</v>
      </c>
      <c r="Q83" s="62">
        <v>1</v>
      </c>
      <c r="R83" s="65">
        <v>2.9199524191710241E-66</v>
      </c>
      <c r="S83" s="65">
        <v>4.6976648604563727E-4</v>
      </c>
    </row>
    <row r="84" spans="16:19" x14ac:dyDescent="0.2">
      <c r="P84" s="62">
        <v>93</v>
      </c>
      <c r="Q84" s="62">
        <v>1</v>
      </c>
      <c r="R84" s="65">
        <v>1.502756954058501E-67</v>
      </c>
      <c r="S84" s="65">
        <v>3.8995109796180721E-4</v>
      </c>
    </row>
    <row r="85" spans="16:19" x14ac:dyDescent="0.2">
      <c r="P85" s="62">
        <v>95</v>
      </c>
      <c r="Q85" s="62">
        <v>1</v>
      </c>
      <c r="R85" s="65">
        <v>7.5711362417172841E-69</v>
      </c>
      <c r="S85" s="65">
        <v>3.23699073369302E-4</v>
      </c>
    </row>
    <row r="86" spans="16:19" x14ac:dyDescent="0.2">
      <c r="P86" s="62">
        <v>96</v>
      </c>
      <c r="Q86" s="62">
        <v>1</v>
      </c>
      <c r="R86" s="65">
        <v>3.7747287468905047E-70</v>
      </c>
      <c r="S86" s="65">
        <v>2.6870411086820593E-4</v>
      </c>
    </row>
    <row r="87" spans="16:19" x14ac:dyDescent="0.2">
      <c r="P87" s="62">
        <v>117</v>
      </c>
      <c r="Q87" s="62">
        <v>1</v>
      </c>
      <c r="R87" s="65">
        <v>1.5441724757951711E-71</v>
      </c>
      <c r="S87" s="65">
        <v>2.2306607354465898E-4</v>
      </c>
    </row>
    <row r="88" spans="16:19" x14ac:dyDescent="0.2">
      <c r="P88" s="62">
        <v>120</v>
      </c>
      <c r="Q88" s="62">
        <v>2</v>
      </c>
      <c r="R88" s="65">
        <v>6.1590039311922552E-73</v>
      </c>
      <c r="S88" s="65">
        <v>1.8518071094456343E-4</v>
      </c>
    </row>
    <row r="89" spans="16:19" x14ac:dyDescent="0.2">
      <c r="P89" s="62">
        <v>136</v>
      </c>
      <c r="Q89" s="62">
        <v>2</v>
      </c>
      <c r="R89" s="65">
        <v>2.1675418588869994E-74</v>
      </c>
      <c r="S89" s="65">
        <v>1.5373466003263796E-4</v>
      </c>
    </row>
    <row r="90" spans="16:19" x14ac:dyDescent="0.2">
      <c r="P90" s="62">
        <v>138</v>
      </c>
      <c r="Q90" s="62">
        <v>1</v>
      </c>
      <c r="R90" s="65">
        <v>7.5176885096360212E-76</v>
      </c>
      <c r="S90" s="65">
        <v>1.2762899183306513E-4</v>
      </c>
    </row>
    <row r="91" spans="16:19" x14ac:dyDescent="0.2">
      <c r="P91" s="62">
        <v>147</v>
      </c>
      <c r="Q91" s="62">
        <v>1</v>
      </c>
      <c r="R91" s="65">
        <v>2.4477266288340863E-77</v>
      </c>
      <c r="S91" s="65">
        <v>1.0595785051235719E-4</v>
      </c>
    </row>
    <row r="92" spans="16:19" x14ac:dyDescent="0.2">
      <c r="P92" s="62">
        <v>148</v>
      </c>
      <c r="Q92" s="62">
        <v>1</v>
      </c>
      <c r="R92" s="65">
        <v>7.9158420058789008E-79</v>
      </c>
      <c r="S92" s="65">
        <v>8.7966555824916533E-5</v>
      </c>
    </row>
    <row r="93" spans="16:19" x14ac:dyDescent="0.2">
      <c r="P93" s="62">
        <v>162</v>
      </c>
      <c r="Q93" s="62">
        <v>1</v>
      </c>
      <c r="R93" s="65">
        <v>2.338718888193532E-80</v>
      </c>
      <c r="S93" s="65">
        <v>7.3031507951353314E-5</v>
      </c>
    </row>
    <row r="118" spans="15:17" x14ac:dyDescent="0.2">
      <c r="O118" s="4"/>
      <c r="P118" s="4"/>
      <c r="Q118" s="4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Model_Calculations</vt:lpstr>
      <vt:lpstr>Observed_vs_Expected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Levaku, Anushka</cp:lastModifiedBy>
  <cp:revision>1</cp:revision>
  <dcterms:created xsi:type="dcterms:W3CDTF">2026-02-25T02:09:35Z</dcterms:created>
  <dcterms:modified xsi:type="dcterms:W3CDTF">2026-02-25T17:32:11Z</dcterms:modified>
  <dc:language>en-US</dc:language>
</cp:coreProperties>
</file>