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nushkaLevaku/Downloads/"/>
    </mc:Choice>
  </mc:AlternateContent>
  <xr:revisionPtr revIDLastSave="0" documentId="13_ncr:1_{16693DAD-E2B2-CE4D-8912-2013A8FF7E41}" xr6:coauthVersionLast="47" xr6:coauthVersionMax="47" xr10:uidLastSave="{00000000-0000-0000-0000-000000000000}"/>
  <bookViews>
    <workbookView xWindow="0" yWindow="760" windowWidth="30240" windowHeight="16860" tabRatio="500" xr2:uid="{00000000-000D-0000-FFFF-FFFF00000000}"/>
  </bookViews>
  <sheets>
    <sheet name="Model_Calculations" sheetId="1" r:id="rId1"/>
    <sheet name="Observed_vs_Expected" sheetId="2" r:id="rId2"/>
  </sheets>
  <definedNames>
    <definedName name="solver_adj" localSheetId="0" hidden="1">Model_Calculations!$B$77:$B$78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Model_Calculations!$B$77:$B$78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Model_Calculations!$H$153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0.00001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3" i="1" l="1"/>
  <c r="B203" i="1" a="1"/>
  <c r="B203" i="1" s="1"/>
  <c r="F165" i="1"/>
  <c r="F164" i="1"/>
  <c r="F79" i="1"/>
  <c r="E83" i="1" s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F161" i="1"/>
  <c r="F157" i="1"/>
  <c r="B153" i="1"/>
  <c r="C74" i="1"/>
  <c r="F159" i="1" s="1"/>
  <c r="F169" i="1" l="1"/>
  <c r="B79" i="1"/>
  <c r="F166" i="1" s="1"/>
  <c r="I84" i="1"/>
  <c r="B6" i="2" s="1"/>
  <c r="D79" i="1"/>
  <c r="F83" i="1"/>
  <c r="H83" i="1"/>
  <c r="E84" i="1"/>
  <c r="I108" i="1"/>
  <c r="I123" i="1"/>
  <c r="I142" i="1"/>
  <c r="I89" i="1"/>
  <c r="B11" i="2" s="1"/>
  <c r="I86" i="1"/>
  <c r="B8" i="2" s="1"/>
  <c r="I110" i="1"/>
  <c r="I91" i="1"/>
  <c r="B13" i="2" s="1"/>
  <c r="I97" i="1"/>
  <c r="B19" i="2" s="1"/>
  <c r="I116" i="1"/>
  <c r="I145" i="1"/>
  <c r="I133" i="1"/>
  <c r="I140" i="1"/>
  <c r="I111" i="1"/>
  <c r="I87" i="1"/>
  <c r="B9" i="2" s="1"/>
  <c r="I115" i="1"/>
  <c r="F156" i="1"/>
  <c r="I95" i="1"/>
  <c r="B17" i="2" s="1"/>
  <c r="I83" i="1"/>
  <c r="B5" i="2" s="1"/>
  <c r="I85" i="1"/>
  <c r="B7" i="2" s="1"/>
  <c r="I93" i="1"/>
  <c r="B15" i="2" s="1"/>
  <c r="I107" i="1"/>
  <c r="B29" i="2" s="1"/>
  <c r="I102" i="1"/>
  <c r="B24" i="2" s="1"/>
  <c r="I101" i="1"/>
  <c r="B23" i="2" s="1"/>
  <c r="I100" i="1"/>
  <c r="B22" i="2" s="1"/>
  <c r="I113" i="1"/>
  <c r="I147" i="1"/>
  <c r="I118" i="1"/>
  <c r="I121" i="1"/>
  <c r="I127" i="1"/>
  <c r="I125" i="1"/>
  <c r="I132" i="1"/>
  <c r="I139" i="1"/>
  <c r="I149" i="1"/>
  <c r="F158" i="1"/>
  <c r="I134" i="1"/>
  <c r="I137" i="1"/>
  <c r="I143" i="1"/>
  <c r="B204" i="1"/>
  <c r="I96" i="1"/>
  <c r="B18" i="2" s="1"/>
  <c r="I105" i="1"/>
  <c r="B27" i="2" s="1"/>
  <c r="I119" i="1"/>
  <c r="I141" i="1"/>
  <c r="I117" i="1"/>
  <c r="I124" i="1"/>
  <c r="I131" i="1"/>
  <c r="I148" i="1"/>
  <c r="I88" i="1"/>
  <c r="B10" i="2" s="1"/>
  <c r="I92" i="1"/>
  <c r="B14" i="2" s="1"/>
  <c r="I94" i="1"/>
  <c r="B16" i="2" s="1"/>
  <c r="I99" i="1"/>
  <c r="B21" i="2" s="1"/>
  <c r="I103" i="1"/>
  <c r="B25" i="2" s="1"/>
  <c r="I109" i="1"/>
  <c r="I126" i="1"/>
  <c r="I129" i="1"/>
  <c r="I135" i="1"/>
  <c r="I150" i="1"/>
  <c r="I90" i="1"/>
  <c r="B12" i="2" s="1"/>
  <c r="I98" i="1"/>
  <c r="B20" i="2" s="1"/>
  <c r="I106" i="1"/>
  <c r="B28" i="2" s="1"/>
  <c r="I114" i="1"/>
  <c r="I122" i="1"/>
  <c r="I130" i="1"/>
  <c r="I138" i="1"/>
  <c r="I146" i="1"/>
  <c r="I104" i="1"/>
  <c r="B26" i="2" s="1"/>
  <c r="I112" i="1"/>
  <c r="I120" i="1"/>
  <c r="I128" i="1"/>
  <c r="I136" i="1"/>
  <c r="I144" i="1"/>
  <c r="F163" i="1" l="1"/>
  <c r="F162" i="1"/>
  <c r="C83" i="1"/>
  <c r="C84" i="1" s="1"/>
  <c r="F160" i="1"/>
  <c r="D84" i="1"/>
  <c r="G84" i="1"/>
  <c r="C85" i="1"/>
  <c r="E85" i="1"/>
  <c r="F84" i="1"/>
  <c r="C179" i="1" s="1"/>
  <c r="F179" i="1" s="1"/>
  <c r="H84" i="1"/>
  <c r="I153" i="1"/>
  <c r="D83" i="1" l="1"/>
  <c r="G83" i="1"/>
  <c r="C86" i="1"/>
  <c r="D85" i="1"/>
  <c r="G85" i="1"/>
  <c r="H85" i="1"/>
  <c r="E86" i="1"/>
  <c r="F85" i="1"/>
  <c r="E179" i="1"/>
  <c r="D179" i="1"/>
  <c r="C178" i="1"/>
  <c r="F178" i="1" s="1"/>
  <c r="C180" i="1" l="1"/>
  <c r="F180" i="1" s="1"/>
  <c r="D86" i="1"/>
  <c r="G86" i="1"/>
  <c r="C87" i="1"/>
  <c r="E87" i="1"/>
  <c r="F86" i="1"/>
  <c r="C181" i="1" s="1"/>
  <c r="H86" i="1"/>
  <c r="E178" i="1"/>
  <c r="D178" i="1"/>
  <c r="D180" i="1" l="1"/>
  <c r="E180" i="1"/>
  <c r="G87" i="1"/>
  <c r="D87" i="1"/>
  <c r="C88" i="1"/>
  <c r="F181" i="1"/>
  <c r="E181" i="1"/>
  <c r="D181" i="1"/>
  <c r="H87" i="1"/>
  <c r="F87" i="1"/>
  <c r="E88" i="1"/>
  <c r="C182" i="1" l="1"/>
  <c r="C89" i="1"/>
  <c r="D88" i="1"/>
  <c r="G88" i="1"/>
  <c r="H88" i="1"/>
  <c r="E89" i="1"/>
  <c r="F88" i="1"/>
  <c r="C183" i="1" s="1"/>
  <c r="F182" i="1"/>
  <c r="D182" i="1"/>
  <c r="E182" i="1"/>
  <c r="C90" i="1" l="1"/>
  <c r="D89" i="1"/>
  <c r="G89" i="1"/>
  <c r="F183" i="1"/>
  <c r="D183" i="1"/>
  <c r="E183" i="1"/>
  <c r="H89" i="1"/>
  <c r="F89" i="1"/>
  <c r="E90" i="1"/>
  <c r="C184" i="1" l="1"/>
  <c r="E184" i="1" s="1"/>
  <c r="D90" i="1"/>
  <c r="G90" i="1"/>
  <c r="C91" i="1"/>
  <c r="F90" i="1"/>
  <c r="C185" i="1" s="1"/>
  <c r="H90" i="1"/>
  <c r="E91" i="1"/>
  <c r="D184" i="1" l="1"/>
  <c r="F184" i="1"/>
  <c r="D91" i="1"/>
  <c r="G91" i="1"/>
  <c r="C92" i="1"/>
  <c r="E92" i="1"/>
  <c r="F91" i="1"/>
  <c r="C186" i="1" s="1"/>
  <c r="H91" i="1"/>
  <c r="D185" i="1"/>
  <c r="F185" i="1"/>
  <c r="E185" i="1"/>
  <c r="D92" i="1" l="1"/>
  <c r="C93" i="1"/>
  <c r="G92" i="1"/>
  <c r="F186" i="1"/>
  <c r="E186" i="1"/>
  <c r="D186" i="1"/>
  <c r="E93" i="1"/>
  <c r="F92" i="1"/>
  <c r="C187" i="1" s="1"/>
  <c r="H92" i="1"/>
  <c r="D93" i="1" l="1"/>
  <c r="C94" i="1"/>
  <c r="G93" i="1"/>
  <c r="F187" i="1"/>
  <c r="E187" i="1"/>
  <c r="D187" i="1"/>
  <c r="F93" i="1"/>
  <c r="C188" i="1" s="1"/>
  <c r="H93" i="1"/>
  <c r="E94" i="1"/>
  <c r="D94" i="1" l="1"/>
  <c r="C95" i="1"/>
  <c r="G94" i="1"/>
  <c r="E95" i="1"/>
  <c r="H94" i="1"/>
  <c r="F94" i="1"/>
  <c r="C189" i="1" s="1"/>
  <c r="D188" i="1"/>
  <c r="F188" i="1"/>
  <c r="E188" i="1"/>
  <c r="D95" i="1" l="1"/>
  <c r="C96" i="1"/>
  <c r="G95" i="1"/>
  <c r="F189" i="1"/>
  <c r="E189" i="1"/>
  <c r="D189" i="1"/>
  <c r="E96" i="1"/>
  <c r="F95" i="1"/>
  <c r="C190" i="1" s="1"/>
  <c r="H95" i="1"/>
  <c r="D96" i="1" l="1"/>
  <c r="C97" i="1"/>
  <c r="G96" i="1"/>
  <c r="F190" i="1"/>
  <c r="E190" i="1"/>
  <c r="D190" i="1"/>
  <c r="H96" i="1"/>
  <c r="F96" i="1"/>
  <c r="C191" i="1" s="1"/>
  <c r="E97" i="1"/>
  <c r="D97" i="1" l="1"/>
  <c r="C98" i="1"/>
  <c r="G97" i="1"/>
  <c r="E191" i="1"/>
  <c r="F191" i="1"/>
  <c r="D191" i="1"/>
  <c r="E98" i="1"/>
  <c r="F97" i="1"/>
  <c r="C192" i="1" s="1"/>
  <c r="H97" i="1"/>
  <c r="D98" i="1" l="1"/>
  <c r="G98" i="1"/>
  <c r="C99" i="1"/>
  <c r="F192" i="1"/>
  <c r="D192" i="1"/>
  <c r="E192" i="1"/>
  <c r="F98" i="1"/>
  <c r="C193" i="1" s="1"/>
  <c r="E99" i="1"/>
  <c r="H98" i="1"/>
  <c r="D99" i="1" l="1"/>
  <c r="G99" i="1"/>
  <c r="C100" i="1"/>
  <c r="E100" i="1"/>
  <c r="H99" i="1"/>
  <c r="F99" i="1"/>
  <c r="C194" i="1" s="1"/>
  <c r="D193" i="1"/>
  <c r="F193" i="1"/>
  <c r="E193" i="1"/>
  <c r="D100" i="1" l="1"/>
  <c r="C101" i="1"/>
  <c r="G100" i="1"/>
  <c r="F194" i="1"/>
  <c r="E194" i="1"/>
  <c r="D194" i="1"/>
  <c r="E101" i="1"/>
  <c r="F100" i="1"/>
  <c r="C195" i="1" s="1"/>
  <c r="H100" i="1"/>
  <c r="D101" i="1" l="1"/>
  <c r="C102" i="1"/>
  <c r="G101" i="1"/>
  <c r="D195" i="1"/>
  <c r="F195" i="1"/>
  <c r="E195" i="1"/>
  <c r="E102" i="1"/>
  <c r="F101" i="1"/>
  <c r="C196" i="1" s="1"/>
  <c r="H101" i="1"/>
  <c r="D102" i="1" l="1"/>
  <c r="G102" i="1"/>
  <c r="C103" i="1"/>
  <c r="D196" i="1"/>
  <c r="F196" i="1"/>
  <c r="E196" i="1"/>
  <c r="E103" i="1"/>
  <c r="H102" i="1"/>
  <c r="F102" i="1"/>
  <c r="C197" i="1" s="1"/>
  <c r="D103" i="1" l="1"/>
  <c r="C104" i="1"/>
  <c r="G103" i="1"/>
  <c r="D197" i="1"/>
  <c r="F197" i="1"/>
  <c r="E197" i="1"/>
  <c r="E104" i="1"/>
  <c r="H103" i="1"/>
  <c r="F103" i="1"/>
  <c r="C198" i="1" s="1"/>
  <c r="D104" i="1" l="1"/>
  <c r="C105" i="1"/>
  <c r="G104" i="1"/>
  <c r="F198" i="1"/>
  <c r="D198" i="1"/>
  <c r="E198" i="1"/>
  <c r="H104" i="1"/>
  <c r="F104" i="1"/>
  <c r="C199" i="1" s="1"/>
  <c r="E105" i="1"/>
  <c r="D105" i="1" l="1"/>
  <c r="C106" i="1"/>
  <c r="G105" i="1"/>
  <c r="E106" i="1"/>
  <c r="F105" i="1"/>
  <c r="C200" i="1" s="1"/>
  <c r="H105" i="1"/>
  <c r="F199" i="1"/>
  <c r="E199" i="1"/>
  <c r="D199" i="1"/>
  <c r="D106" i="1" l="1"/>
  <c r="C107" i="1"/>
  <c r="G106" i="1"/>
  <c r="F200" i="1"/>
  <c r="E200" i="1"/>
  <c r="D200" i="1"/>
  <c r="E107" i="1"/>
  <c r="F106" i="1"/>
  <c r="C201" i="1" s="1"/>
  <c r="H106" i="1"/>
  <c r="D107" i="1" l="1"/>
  <c r="G107" i="1"/>
  <c r="C108" i="1"/>
  <c r="D201" i="1"/>
  <c r="F201" i="1"/>
  <c r="E201" i="1"/>
  <c r="E108" i="1"/>
  <c r="H107" i="1"/>
  <c r="F107" i="1"/>
  <c r="C202" i="1" s="1"/>
  <c r="D108" i="1" l="1"/>
  <c r="C109" i="1"/>
  <c r="G108" i="1"/>
  <c r="D202" i="1"/>
  <c r="E202" i="1"/>
  <c r="F202" i="1"/>
  <c r="F108" i="1"/>
  <c r="E109" i="1"/>
  <c r="H108" i="1"/>
  <c r="D109" i="1" l="1"/>
  <c r="G109" i="1"/>
  <c r="C110" i="1"/>
  <c r="E110" i="1"/>
  <c r="F109" i="1"/>
  <c r="H109" i="1"/>
  <c r="D110" i="1" l="1"/>
  <c r="C111" i="1"/>
  <c r="G110" i="1"/>
  <c r="F110" i="1"/>
  <c r="H110" i="1"/>
  <c r="E111" i="1"/>
  <c r="D111" i="1" l="1"/>
  <c r="G111" i="1"/>
  <c r="C112" i="1"/>
  <c r="F111" i="1"/>
  <c r="E112" i="1"/>
  <c r="H111" i="1"/>
  <c r="D112" i="1" l="1"/>
  <c r="C113" i="1"/>
  <c r="G112" i="1"/>
  <c r="E113" i="1"/>
  <c r="F112" i="1"/>
  <c r="H112" i="1"/>
  <c r="D113" i="1" l="1"/>
  <c r="C114" i="1"/>
  <c r="G113" i="1"/>
  <c r="E114" i="1"/>
  <c r="F113" i="1"/>
  <c r="H113" i="1"/>
  <c r="D114" i="1" l="1"/>
  <c r="G114" i="1"/>
  <c r="C115" i="1"/>
  <c r="E115" i="1"/>
  <c r="F114" i="1"/>
  <c r="H114" i="1"/>
  <c r="D115" i="1" l="1"/>
  <c r="G115" i="1"/>
  <c r="C116" i="1"/>
  <c r="H115" i="1"/>
  <c r="F115" i="1"/>
  <c r="E116" i="1"/>
  <c r="D116" i="1" l="1"/>
  <c r="C117" i="1"/>
  <c r="G116" i="1"/>
  <c r="E117" i="1"/>
  <c r="H116" i="1"/>
  <c r="F116" i="1"/>
  <c r="D117" i="1" l="1"/>
  <c r="G117" i="1"/>
  <c r="C118" i="1"/>
  <c r="F117" i="1"/>
  <c r="E118" i="1"/>
  <c r="H117" i="1"/>
  <c r="D118" i="1" l="1"/>
  <c r="G118" i="1"/>
  <c r="C119" i="1"/>
  <c r="E119" i="1"/>
  <c r="F118" i="1"/>
  <c r="H118" i="1"/>
  <c r="D119" i="1" l="1"/>
  <c r="G119" i="1"/>
  <c r="C120" i="1"/>
  <c r="E120" i="1"/>
  <c r="H119" i="1"/>
  <c r="F119" i="1"/>
  <c r="D120" i="1" l="1"/>
  <c r="C121" i="1"/>
  <c r="G120" i="1"/>
  <c r="F120" i="1"/>
  <c r="E121" i="1"/>
  <c r="H120" i="1"/>
  <c r="D121" i="1" l="1"/>
  <c r="G121" i="1"/>
  <c r="C122" i="1"/>
  <c r="F121" i="1"/>
  <c r="H121" i="1"/>
  <c r="E122" i="1"/>
  <c r="D122" i="1" l="1"/>
  <c r="G122" i="1"/>
  <c r="C123" i="1"/>
  <c r="F122" i="1"/>
  <c r="H122" i="1"/>
  <c r="E123" i="1"/>
  <c r="D123" i="1" l="1"/>
  <c r="G123" i="1"/>
  <c r="C124" i="1"/>
  <c r="H123" i="1"/>
  <c r="F123" i="1"/>
  <c r="E124" i="1"/>
  <c r="D124" i="1" l="1"/>
  <c r="G124" i="1"/>
  <c r="C125" i="1"/>
  <c r="E125" i="1"/>
  <c r="H124" i="1"/>
  <c r="F124" i="1"/>
  <c r="D125" i="1" l="1"/>
  <c r="C126" i="1"/>
  <c r="G125" i="1"/>
  <c r="E126" i="1"/>
  <c r="F125" i="1"/>
  <c r="H125" i="1"/>
  <c r="D126" i="1" l="1"/>
  <c r="G126" i="1"/>
  <c r="C127" i="1"/>
  <c r="E127" i="1"/>
  <c r="F126" i="1"/>
  <c r="H126" i="1"/>
  <c r="D127" i="1" l="1"/>
  <c r="G127" i="1"/>
  <c r="C128" i="1"/>
  <c r="E128" i="1"/>
  <c r="H127" i="1"/>
  <c r="F127" i="1"/>
  <c r="D128" i="1" l="1"/>
  <c r="C129" i="1"/>
  <c r="G128" i="1"/>
  <c r="F128" i="1"/>
  <c r="E129" i="1"/>
  <c r="H128" i="1"/>
  <c r="D129" i="1" l="1"/>
  <c r="C130" i="1"/>
  <c r="G129" i="1"/>
  <c r="H129" i="1"/>
  <c r="F129" i="1"/>
  <c r="E130" i="1"/>
  <c r="D130" i="1" l="1"/>
  <c r="G130" i="1"/>
  <c r="C131" i="1"/>
  <c r="H130" i="1"/>
  <c r="F130" i="1"/>
  <c r="E131" i="1"/>
  <c r="D131" i="1" l="1"/>
  <c r="G131" i="1"/>
  <c r="C132" i="1"/>
  <c r="H131" i="1"/>
  <c r="F131" i="1"/>
  <c r="E132" i="1"/>
  <c r="D132" i="1" l="1"/>
  <c r="C133" i="1"/>
  <c r="G132" i="1"/>
  <c r="E133" i="1"/>
  <c r="H132" i="1"/>
  <c r="F132" i="1"/>
  <c r="D133" i="1" l="1"/>
  <c r="C134" i="1"/>
  <c r="G133" i="1"/>
  <c r="E134" i="1"/>
  <c r="F133" i="1"/>
  <c r="H133" i="1"/>
  <c r="D134" i="1" l="1"/>
  <c r="C135" i="1"/>
  <c r="G134" i="1"/>
  <c r="E135" i="1"/>
  <c r="F134" i="1"/>
  <c r="H134" i="1"/>
  <c r="D135" i="1" l="1"/>
  <c r="G135" i="1"/>
  <c r="C136" i="1"/>
  <c r="E136" i="1"/>
  <c r="F135" i="1"/>
  <c r="H135" i="1"/>
  <c r="D136" i="1" l="1"/>
  <c r="C137" i="1"/>
  <c r="G136" i="1"/>
  <c r="F136" i="1"/>
  <c r="H136" i="1"/>
  <c r="E137" i="1"/>
  <c r="D137" i="1" l="1"/>
  <c r="G137" i="1"/>
  <c r="C138" i="1"/>
  <c r="F137" i="1"/>
  <c r="H137" i="1"/>
  <c r="E138" i="1"/>
  <c r="D138" i="1" l="1"/>
  <c r="G138" i="1"/>
  <c r="C139" i="1"/>
  <c r="F138" i="1"/>
  <c r="H138" i="1"/>
  <c r="E139" i="1"/>
  <c r="D139" i="1" l="1"/>
  <c r="G139" i="1"/>
  <c r="C140" i="1"/>
  <c r="H139" i="1"/>
  <c r="F139" i="1"/>
  <c r="E140" i="1"/>
  <c r="D140" i="1" l="1"/>
  <c r="C141" i="1"/>
  <c r="G140" i="1"/>
  <c r="E141" i="1"/>
  <c r="H140" i="1"/>
  <c r="F140" i="1"/>
  <c r="D141" i="1" l="1"/>
  <c r="C142" i="1"/>
  <c r="G141" i="1"/>
  <c r="E142" i="1"/>
  <c r="H141" i="1"/>
  <c r="F141" i="1"/>
  <c r="D142" i="1" l="1"/>
  <c r="G142" i="1"/>
  <c r="C143" i="1"/>
  <c r="E143" i="1"/>
  <c r="F142" i="1"/>
  <c r="H142" i="1"/>
  <c r="D143" i="1" l="1"/>
  <c r="G143" i="1"/>
  <c r="C144" i="1"/>
  <c r="E144" i="1"/>
  <c r="H143" i="1"/>
  <c r="F143" i="1"/>
  <c r="D144" i="1" l="1"/>
  <c r="C145" i="1"/>
  <c r="G144" i="1"/>
  <c r="F144" i="1"/>
  <c r="E145" i="1"/>
  <c r="H144" i="1"/>
  <c r="D145" i="1" l="1"/>
  <c r="G145" i="1"/>
  <c r="C146" i="1"/>
  <c r="F145" i="1"/>
  <c r="H145" i="1"/>
  <c r="E146" i="1"/>
  <c r="D146" i="1" l="1"/>
  <c r="C147" i="1"/>
  <c r="G146" i="1"/>
  <c r="F146" i="1"/>
  <c r="E147" i="1"/>
  <c r="H146" i="1"/>
  <c r="D147" i="1" l="1"/>
  <c r="C148" i="1"/>
  <c r="G147" i="1"/>
  <c r="H147" i="1"/>
  <c r="F147" i="1"/>
  <c r="E148" i="1"/>
  <c r="D148" i="1" l="1"/>
  <c r="C149" i="1"/>
  <c r="G148" i="1"/>
  <c r="E149" i="1"/>
  <c r="F148" i="1"/>
  <c r="H148" i="1"/>
  <c r="D149" i="1" l="1"/>
  <c r="C150" i="1"/>
  <c r="C153" i="1" s="1"/>
  <c r="G149" i="1"/>
  <c r="E150" i="1"/>
  <c r="F149" i="1"/>
  <c r="H149" i="1"/>
  <c r="C151" i="1" l="1"/>
  <c r="D8" i="2"/>
  <c r="D15" i="2"/>
  <c r="D23" i="2"/>
  <c r="D9" i="2"/>
  <c r="D16" i="2"/>
  <c r="D24" i="2"/>
  <c r="D7" i="2"/>
  <c r="D17" i="2"/>
  <c r="D25" i="2"/>
  <c r="D12" i="2"/>
  <c r="D18" i="2"/>
  <c r="D26" i="2"/>
  <c r="D13" i="2"/>
  <c r="D27" i="2"/>
  <c r="D20" i="2"/>
  <c r="D28" i="2"/>
  <c r="D11" i="2"/>
  <c r="D19" i="2"/>
  <c r="D5" i="2"/>
  <c r="D6" i="2"/>
  <c r="D21" i="2"/>
  <c r="D29" i="2"/>
  <c r="D10" i="2"/>
  <c r="D14" i="2"/>
  <c r="D22" i="2"/>
  <c r="D150" i="1"/>
  <c r="D153" i="1" s="1"/>
  <c r="G150" i="1"/>
  <c r="G153" i="1" s="1"/>
  <c r="F167" i="1" s="1"/>
  <c r="H150" i="1"/>
  <c r="H153" i="1" s="1"/>
  <c r="F150" i="1"/>
  <c r="C203" i="1" s="1" a="1"/>
  <c r="C203" i="1" s="1"/>
  <c r="E152" i="1"/>
  <c r="E153" i="1"/>
  <c r="C204" i="1" l="1"/>
  <c r="D203" i="1"/>
  <c r="E203" i="1"/>
  <c r="E204" i="1" s="1"/>
  <c r="E206" i="1" s="1"/>
  <c r="C10" i="2"/>
  <c r="C18" i="2"/>
  <c r="C26" i="2"/>
  <c r="C12" i="2"/>
  <c r="C20" i="2"/>
  <c r="C9" i="2"/>
  <c r="C13" i="2"/>
  <c r="C21" i="2"/>
  <c r="C29" i="2"/>
  <c r="C5" i="2"/>
  <c r="C14" i="2"/>
  <c r="C22" i="2"/>
  <c r="C15" i="2"/>
  <c r="C6" i="2"/>
  <c r="C7" i="2"/>
  <c r="C19" i="2"/>
  <c r="C27" i="2"/>
  <c r="C28" i="2"/>
  <c r="C23" i="2"/>
  <c r="C11" i="2"/>
  <c r="C24" i="2"/>
  <c r="C17" i="2"/>
  <c r="C8" i="2"/>
  <c r="C25" i="2"/>
  <c r="C16" i="2"/>
  <c r="F168" i="1"/>
  <c r="F171" i="1"/>
  <c r="F170" i="1"/>
  <c r="F173" i="1"/>
  <c r="F15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<sst xmlns="http://schemas.openxmlformats.org/spreadsheetml/2006/main" count="94" uniqueCount="85">
  <si>
    <t>NBD Model — Bears vs Eagles</t>
  </si>
  <si>
    <t>SECTION A — Raw Histogram Data  (full tail, from histogram CSV)</t>
  </si>
  <si>
    <t>Row</t>
  </si>
  <si>
    <t>x
(# comments)</t>
  </si>
  <si>
    <t>TOTAL</t>
  </si>
  <si>
    <t>x</t>
  </si>
  <si>
    <t>NBD
Expected (E)</t>
  </si>
  <si>
    <t>SUM PMF (Poisson, normalisation)</t>
  </si>
  <si>
    <t>SUM PMF (NBD, normalisation)</t>
  </si>
  <si>
    <t>SECTION D — Summary Statistics  (all cells are formulas)</t>
  </si>
  <si>
    <t>Unique Users  (x ≥ 1 — lurkers excluded)</t>
  </si>
  <si>
    <t>Mean Comments / User  (= Total / N)</t>
  </si>
  <si>
    <t>Variance / Mean  (&gt;1 confirms overdispersion)</t>
  </si>
  <si>
    <t>Max Comments  (single user)</t>
  </si>
  <si>
    <t>LL Improvement  (NBD LL − Poisson LL)</t>
  </si>
  <si>
    <t>LRT Statistic  = 2 × LL Improvement</t>
  </si>
  <si>
    <t>LRT df = 1  (NBD has 2 params, Poisson has 1 — difference = 1)</t>
  </si>
  <si>
    <t>LRT p-value  =CHIDIST(LRT statistic, df=1)</t>
  </si>
  <si>
    <t>Top 5% Users — share of comments  (top 5% of users by comment volume, share of total comments)</t>
  </si>
  <si>
    <t>Bin
(x range)</t>
  </si>
  <si>
    <t>Actual
(O)</t>
  </si>
  <si>
    <t>O − E</t>
  </si>
  <si>
    <t>(O−E)²/E
(χ² comp.)</t>
  </si>
  <si>
    <t>E ≥ 5?
(check)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</si>
  <si>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</si>
  <si>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</si>
  <si>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</si>
  <si>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</si>
  <si>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</si>
  <si>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</si>
  <si>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</si>
  <si>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</si>
  <si>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</si>
  <si>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</si>
  <si>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</si>
  <si>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</si>
  <si>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</si>
  <si>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</si>
  <si>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</si>
  <si>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</si>
  <si>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</si>
  <si>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</si>
  <si>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</si>
  <si>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</si>
  <si>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</si>
  <si>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</si>
  <si>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</si>
  <si>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</si>
  <si>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</si>
  <si>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Degrees of Freedom  (bins − 1 − 2 MLE params)</t>
  </si>
  <si>
    <t>χ² p-value</t>
  </si>
  <si>
    <t>Observed vs Expected — Bears vs Eagles</t>
  </si>
  <si>
    <t>Left-truncated at x=1. Proportions conditional on x≥1. Bars = Observed; Line = NBD Expected.</t>
  </si>
  <si>
    <t>Observed Proportion</t>
  </si>
  <si>
    <t>NBD Expected Proportion</t>
  </si>
  <si>
    <t>Poisson Expected Proportion</t>
  </si>
  <si>
    <t>Left-truncated at x=1: lurkers (x=0) are unobserved. All statistics are conditional on participation.</t>
  </si>
  <si>
    <t>Actual Count
(n_x)</t>
  </si>
  <si>
    <t>SECTION B — Solver Inputs + λ</t>
  </si>
  <si>
    <t>r</t>
  </si>
  <si>
    <t>α</t>
  </si>
  <si>
    <t>λ</t>
  </si>
  <si>
    <t>Poisson PMF (No Observed Zeroes)</t>
  </si>
  <si>
    <t>NBD PMF (No Observed Zeroes)</t>
  </si>
  <si>
    <t>Variance</t>
  </si>
  <si>
    <t>MoM  r = mean² / (variance − mean)  × (mean / variance)</t>
  </si>
  <si>
    <t>MoM  α = mean / (variance − mean)</t>
  </si>
  <si>
    <t>MLE  r  ← SOLVER INPUT (yellow cell in Section B)</t>
  </si>
  <si>
    <t>MLE  α  ← SOLVER INPUT (yellow cell in Section B)</t>
  </si>
  <si>
    <t>Poisson  λ</t>
  </si>
  <si>
    <t>Poisson LL</t>
  </si>
  <si>
    <t>NBD LL</t>
  </si>
  <si>
    <t>NBD Mean = r/α</t>
  </si>
  <si>
    <t>Actual
Count (n_x)</t>
  </si>
  <si>
    <t>Poisson 
PMF P(X=x|λ)</t>
  </si>
  <si>
    <t>Poisson 
Expected</t>
  </si>
  <si>
    <t>NBD 
PMF P(X=x|r,α)</t>
  </si>
  <si>
    <t>NBD 
Expected</t>
  </si>
  <si>
    <t>Actual 
Proportion</t>
  </si>
  <si>
    <t>SECTION C — Full Histogram with Model Probabilities</t>
  </si>
  <si>
    <t>Total Comments</t>
  </si>
  <si>
    <t>SECTION E — χ² Goodness of Fit, Binned for Chi-Square Only</t>
  </si>
  <si>
    <t>26+</t>
  </si>
  <si>
    <t>Note: Poisson is nested within NBD, therefore LRT is valid</t>
  </si>
  <si>
    <t>computed using python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</si>
</sst>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8" formatCode="0.00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7F3F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7F7F7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BDD7EF"/>
        <bgColor rgb="FFF2F2F2"/>
      </patternFill>
    </fill>
    <fill>
      <patternFill patternType="solid">
        <fgColor rgb="FFE2F0DB"/>
        <bgColor rgb="FFF2F2F2"/>
      </patternFill>
    </fill>
    <fill>
      <patternFill patternType="solid">
        <fgColor rgb="FFE2F0DB"/>
        <bgColor indexed="64"/>
      </patternFill>
    </fill>
    <fill>
      <patternFill patternType="solid">
        <fgColor rgb="FFFFF3CC"/>
        <bgColor rgb="FFF2F2F2"/>
      </patternFill>
    </fill>
    <fill>
      <patternFill patternType="solid">
        <fgColor rgb="FFBDD7E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10" fontId="5" fillId="8" borderId="2" xfId="0" applyNumberFormat="1" applyFont="1" applyFill="1" applyBorder="1" applyAlignment="1">
      <alignment horizontal="center" vertical="center"/>
    </xf>
    <xf numFmtId="165" fontId="5" fillId="8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164" fontId="6" fillId="8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3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3" xfId="0" applyFill="1" applyBorder="1"/>
    <xf numFmtId="0" fontId="3" fillId="0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5" fillId="0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left" vertical="center"/>
    </xf>
    <xf numFmtId="2" fontId="5" fillId="5" borderId="4" xfId="0" applyNumberFormat="1" applyFont="1" applyFill="1" applyBorder="1" applyAlignment="1">
      <alignment horizontal="left" vertical="center"/>
    </xf>
    <xf numFmtId="2" fontId="5" fillId="5" borderId="5" xfId="0" applyNumberFormat="1" applyFont="1" applyFill="1" applyBorder="1" applyAlignment="1">
      <alignment horizontal="left" vertical="center"/>
    </xf>
    <xf numFmtId="2" fontId="5" fillId="3" borderId="1" xfId="0" applyNumberFormat="1" applyFont="1" applyFill="1" applyBorder="1" applyAlignment="1">
      <alignment horizontal="left" vertical="center"/>
    </xf>
    <xf numFmtId="2" fontId="5" fillId="3" borderId="4" xfId="0" applyNumberFormat="1" applyFont="1" applyFill="1" applyBorder="1" applyAlignment="1">
      <alignment horizontal="left" vertical="center"/>
    </xf>
    <xf numFmtId="2" fontId="5" fillId="3" borderId="5" xfId="0" applyNumberFormat="1" applyFont="1" applyFill="1" applyBorder="1" applyAlignment="1">
      <alignment horizontal="left" vertical="center"/>
    </xf>
    <xf numFmtId="2" fontId="5" fillId="9" borderId="1" xfId="0" applyNumberFormat="1" applyFont="1" applyFill="1" applyBorder="1" applyAlignment="1">
      <alignment horizontal="left" vertical="center"/>
    </xf>
    <xf numFmtId="2" fontId="5" fillId="9" borderId="4" xfId="0" applyNumberFormat="1" applyFont="1" applyFill="1" applyBorder="1" applyAlignment="1">
      <alignment horizontal="left" vertical="center"/>
    </xf>
    <xf numFmtId="2" fontId="5" fillId="9" borderId="5" xfId="0" applyNumberFormat="1" applyFont="1" applyFill="1" applyBorder="1" applyAlignment="1">
      <alignment horizontal="left" vertical="center"/>
    </xf>
    <xf numFmtId="165" fontId="0" fillId="0" borderId="0" xfId="0" applyNumberFormat="1"/>
    <xf numFmtId="2" fontId="4" fillId="5" borderId="2" xfId="0" applyNumberFormat="1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/>
    </xf>
    <xf numFmtId="165" fontId="5" fillId="10" borderId="2" xfId="0" applyNumberFormat="1" applyFont="1" applyFill="1" applyBorder="1" applyAlignment="1">
      <alignment horizontal="center" vertical="center"/>
    </xf>
    <xf numFmtId="165" fontId="5" fillId="12" borderId="2" xfId="0" applyNumberFormat="1" applyFon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165" fontId="0" fillId="11" borderId="4" xfId="0" applyNumberFormat="1" applyFill="1" applyBorder="1" applyAlignment="1">
      <alignment horizontal="center" vertical="center"/>
    </xf>
    <xf numFmtId="165" fontId="0" fillId="11" borderId="5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168" fontId="5" fillId="6" borderId="2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D7EF"/>
      <color rgb="FFFFF3CC"/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Observed vs NBD Expected — Bears vs Eagles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Observed_vs_Expected!$B$4</c:f>
              <c:strCache>
                <c:ptCount val="1"/>
                <c:pt idx="0">
                  <c:v>Observed Proportion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Observed_vs_Expected!$B$5:$B$29</c:f>
              <c:numCache>
                <c:formatCode>0.000%</c:formatCode>
                <c:ptCount val="25"/>
                <c:pt idx="0">
                  <c:v>0.43359794035614674</c:v>
                </c:pt>
                <c:pt idx="1">
                  <c:v>0.167346063076593</c:v>
                </c:pt>
                <c:pt idx="2">
                  <c:v>9.2683973396266897E-2</c:v>
                </c:pt>
                <c:pt idx="3">
                  <c:v>6.2432954301652008E-2</c:v>
                </c:pt>
                <c:pt idx="4">
                  <c:v>4.2694700708002575E-2</c:v>
                </c:pt>
                <c:pt idx="5">
                  <c:v>3.0680111564042052E-2</c:v>
                </c:pt>
                <c:pt idx="6">
                  <c:v>2.5531001930916113E-2</c:v>
                </c:pt>
                <c:pt idx="7">
                  <c:v>1.5876421368804978E-2</c:v>
                </c:pt>
                <c:pt idx="8">
                  <c:v>1.6305513838232141E-2</c:v>
                </c:pt>
                <c:pt idx="9">
                  <c:v>1.094185797039262E-2</c:v>
                </c:pt>
                <c:pt idx="10">
                  <c:v>1.3301866552242008E-2</c:v>
                </c:pt>
                <c:pt idx="11">
                  <c:v>8.1527569191160703E-3</c:v>
                </c:pt>
                <c:pt idx="12">
                  <c:v>6.8654795108345846E-3</c:v>
                </c:pt>
                <c:pt idx="13">
                  <c:v>5.3636558678395192E-3</c:v>
                </c:pt>
                <c:pt idx="14">
                  <c:v>6.8654795108345846E-3</c:v>
                </c:pt>
                <c:pt idx="15">
                  <c:v>5.1491096331259386E-3</c:v>
                </c:pt>
                <c:pt idx="16">
                  <c:v>4.9345633984123581E-3</c:v>
                </c:pt>
                <c:pt idx="17">
                  <c:v>4.5054709289851962E-3</c:v>
                </c:pt>
                <c:pt idx="18">
                  <c:v>3.6472859901308732E-3</c:v>
                </c:pt>
                <c:pt idx="19">
                  <c:v>3.4327397554172923E-3</c:v>
                </c:pt>
                <c:pt idx="20">
                  <c:v>4.7200171636987767E-3</c:v>
                </c:pt>
                <c:pt idx="21">
                  <c:v>1.7163698777086461E-3</c:v>
                </c:pt>
                <c:pt idx="22">
                  <c:v>1.2872774082814847E-3</c:v>
                </c:pt>
                <c:pt idx="23">
                  <c:v>1.9309161124222271E-3</c:v>
                </c:pt>
                <c:pt idx="24">
                  <c:v>2.7891010512765503E-3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E-2449-8A15-FD97B1CE8E81}"/>
            </c:ext>
          </c:extLst>
        </c:ser>
        <c:ser>
          <c:idx val="1"/>
          <c:order val="1"/>
          <c:tx>
            <c:strRef>
              <c:f>Observed_vs_Expected!$C$4</c:f>
              <c:strCache>
                <c:ptCount val="1"/>
                <c:pt idx="0">
                  <c:v>NBD Expected Proportion</c:v>
                </c:pt>
              </c:strCache>
            </c:strRef>
          </c:tx>
          <c:spPr>
            <a:ln w="20160">
              <a:solidFill>
                <a:srgbClr val="ED7D31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Observed_vs_Expected!$C$5:$C$29</c:f>
              <c:numCache>
                <c:formatCode>0.000%</c:formatCode>
                <c:ptCount val="25"/>
                <c:pt idx="0">
                  <c:v>0.18140813259365601</c:v>
                </c:pt>
                <c:pt idx="1">
                  <c:v>0.14894296731650086</c:v>
                </c:pt>
                <c:pt idx="2">
                  <c:v>0.1220535432669554</c:v>
                </c:pt>
                <c:pt idx="3">
                  <c:v>9.9922606055108235E-2</c:v>
                </c:pt>
                <c:pt idx="4">
                  <c:v>8.1757330532980191E-2</c:v>
                </c:pt>
                <c:pt idx="5">
                  <c:v>6.6868661981955665E-2</c:v>
                </c:pt>
                <c:pt idx="6">
                  <c:v>5.4676313389410723E-2</c:v>
                </c:pt>
                <c:pt idx="7">
                  <c:v>4.4697814502833062E-2</c:v>
                </c:pt>
                <c:pt idx="8">
                  <c:v>3.6534545535099126E-2</c:v>
                </c:pt>
                <c:pt idx="9">
                  <c:v>2.9858322635725677E-2</c:v>
                </c:pt>
                <c:pt idx="10">
                  <c:v>2.4399532567859178E-2</c:v>
                </c:pt>
                <c:pt idx="11">
                  <c:v>1.9936990644360195E-2</c:v>
                </c:pt>
                <c:pt idx="12">
                  <c:v>1.6289417186862672E-2</c:v>
                </c:pt>
                <c:pt idx="13">
                  <c:v>1.3308341042140882E-2</c:v>
                </c:pt>
                <c:pt idx="14">
                  <c:v>1.0872224352623456E-2</c:v>
                </c:pt>
                <c:pt idx="15">
                  <c:v>8.8816158185260202E-3</c:v>
                </c:pt>
                <c:pt idx="16">
                  <c:v>7.2551619941056316E-3</c:v>
                </c:pt>
                <c:pt idx="17">
                  <c:v>5.9263302032761438E-3</c:v>
                </c:pt>
                <c:pt idx="18">
                  <c:v>4.840719358130202E-3</c:v>
                </c:pt>
                <c:pt idx="19">
                  <c:v>3.9538551818080582E-3</c:v>
                </c:pt>
                <c:pt idx="20">
                  <c:v>3.2293838053382221E-3</c:v>
                </c:pt>
                <c:pt idx="21">
                  <c:v>2.6375925361030637E-3</c:v>
                </c:pt>
                <c:pt idx="22">
                  <c:v>2.1541990448928823E-3</c:v>
                </c:pt>
                <c:pt idx="23">
                  <c:v>1.7593605957530777E-3</c:v>
                </c:pt>
                <c:pt idx="24">
                  <c:v>1.436863550550616E-3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E-2449-8A15-FD97B1CE8E81}"/>
            </c:ext>
          </c:extLst>
        </c:ser>
        <c:ser>
          <c:idx val="2"/>
          <c:order val="2"/>
          <c:tx>
            <c:strRef>
              <c:f>Observed_vs_Expected!$D$4</c:f>
              <c:strCache>
                <c:ptCount val="1"/>
                <c:pt idx="0">
                  <c:v>Poisson Expected Proportion</c:v>
                </c:pt>
              </c:strCache>
            </c:strRef>
          </c:tx>
          <c:spPr>
            <a:ln w="15120">
              <a:solidFill>
                <a:srgbClr val="70AD47"/>
              </a:solidFill>
              <a:round/>
            </a:ln>
          </c:spPr>
          <c:invertIfNegative val="0"/>
          <c:cat>
            <c:numRef>
              <c:f>Observed_vs_Expected!$A$5:$A$29</c:f>
              <c:numCache>
                <c:formatCode>#,##0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Observed_vs_Expected!$D$5:$D$29</c:f>
              <c:numCache>
                <c:formatCode>0.000%</c:formatCode>
                <c:ptCount val="25"/>
                <c:pt idx="0">
                  <c:v>4.7570149912934789E-2</c:v>
                </c:pt>
                <c:pt idx="1">
                  <c:v>0.10886226218543636</c:v>
                </c:pt>
                <c:pt idx="2">
                  <c:v>0.16608443389844196</c:v>
                </c:pt>
                <c:pt idx="3">
                  <c:v>0.19003857693389095</c:v>
                </c:pt>
                <c:pt idx="4">
                  <c:v>0.17395807602362995</c:v>
                </c:pt>
                <c:pt idx="5">
                  <c:v>0.13269854951770355</c:v>
                </c:pt>
                <c:pt idx="6">
                  <c:v>8.6764279794684443E-2</c:v>
                </c:pt>
                <c:pt idx="7">
                  <c:v>4.9639089810663034E-2</c:v>
                </c:pt>
                <c:pt idx="8">
                  <c:v>2.5243765117902085E-2</c:v>
                </c:pt>
                <c:pt idx="9">
                  <c:v>1.155385628105997E-2</c:v>
                </c:pt>
                <c:pt idx="10">
                  <c:v>4.8073651000341781E-3</c:v>
                </c:pt>
                <c:pt idx="11">
                  <c:v>1.8335750496858527E-3</c:v>
                </c:pt>
                <c:pt idx="12">
                  <c:v>6.4554744830175597E-4</c:v>
                </c:pt>
                <c:pt idx="13">
                  <c:v>2.110439776047654E-4</c:v>
                </c:pt>
                <c:pt idx="14">
                  <c:v>6.4395353990452127E-5</c:v>
                </c:pt>
                <c:pt idx="15">
                  <c:v>1.8420753146834303E-5</c:v>
                </c:pt>
                <c:pt idx="16">
                  <c:v>4.9594245981222937E-6</c:v>
                </c:pt>
                <c:pt idx="17">
                  <c:v>1.2610479981852117E-6</c:v>
                </c:pt>
                <c:pt idx="18">
                  <c:v>3.0377417253226801E-7</c:v>
                </c:pt>
                <c:pt idx="19">
                  <c:v>6.9517425687951881E-8</c:v>
                </c:pt>
                <c:pt idx="20">
                  <c:v>1.5151206487480485E-8</c:v>
                </c:pt>
                <c:pt idx="21">
                  <c:v>3.1520809814263542E-9</c:v>
                </c:pt>
                <c:pt idx="22">
                  <c:v>6.2725244234553524E-10</c:v>
                </c:pt>
                <c:pt idx="23">
                  <c:v>1.196200417699823E-10</c:v>
                </c:pt>
                <c:pt idx="24">
                  <c:v>2.1899629702458978E-11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2449-8A15-FD97B1CE8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288208"/>
        <c:axId val="56561242"/>
      </c:barChart>
      <c:catAx>
        <c:axId val="962882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Comments per User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61242"/>
        <c:crosses val="autoZero"/>
        <c:auto val="1"/>
        <c:lblAlgn val="ctr"/>
        <c:lblOffset val="100"/>
        <c:noMultiLvlLbl val="0"/>
      </c:catAx>
      <c:valAx>
        <c:axId val="56561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Proportion of Users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288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Observed vs Expected Poisson &amp; NBD - Bears Eagles</a:t>
            </a:r>
          </a:p>
        </c:rich>
      </c:tx>
      <c:layout>
        <c:manualLayout>
          <c:xMode val="edge"/>
          <c:yMode val="edge"/>
          <c:x val="0.11612612545076717"/>
          <c:y val="1.7399667625246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991732777589043E-2"/>
          <c:y val="0.11215864390225896"/>
          <c:w val="0.9693640568084686"/>
          <c:h val="0.87086194549916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Observed_vs_Expected!$P$2:$P$69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52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65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74</c:v>
                </c:pt>
                <c:pt idx="61">
                  <c:v>78</c:v>
                </c:pt>
                <c:pt idx="62">
                  <c:v>80</c:v>
                </c:pt>
                <c:pt idx="63">
                  <c:v>81</c:v>
                </c:pt>
                <c:pt idx="64">
                  <c:v>83</c:v>
                </c:pt>
                <c:pt idx="65">
                  <c:v>99</c:v>
                </c:pt>
                <c:pt idx="66">
                  <c:v>102</c:v>
                </c:pt>
                <c:pt idx="67">
                  <c:v>148</c:v>
                </c:pt>
              </c:numCache>
            </c:numRef>
          </c:cat>
          <c:val>
            <c:numRef>
              <c:f>Observed_vs_Expected!$Q$2:$Q$69</c:f>
              <c:numCache>
                <c:formatCode>General</c:formatCode>
                <c:ptCount val="68"/>
                <c:pt idx="0">
                  <c:v>2021</c:v>
                </c:pt>
                <c:pt idx="1">
                  <c:v>780</c:v>
                </c:pt>
                <c:pt idx="2">
                  <c:v>432</c:v>
                </c:pt>
                <c:pt idx="3">
                  <c:v>291</c:v>
                </c:pt>
                <c:pt idx="4">
                  <c:v>199</c:v>
                </c:pt>
                <c:pt idx="5">
                  <c:v>143</c:v>
                </c:pt>
                <c:pt idx="6">
                  <c:v>119</c:v>
                </c:pt>
                <c:pt idx="7">
                  <c:v>74</c:v>
                </c:pt>
                <c:pt idx="8">
                  <c:v>76</c:v>
                </c:pt>
                <c:pt idx="9">
                  <c:v>51</c:v>
                </c:pt>
                <c:pt idx="10">
                  <c:v>62</c:v>
                </c:pt>
                <c:pt idx="11">
                  <c:v>38</c:v>
                </c:pt>
                <c:pt idx="12">
                  <c:v>32</c:v>
                </c:pt>
                <c:pt idx="13">
                  <c:v>25</c:v>
                </c:pt>
                <c:pt idx="14">
                  <c:v>32</c:v>
                </c:pt>
                <c:pt idx="15">
                  <c:v>24</c:v>
                </c:pt>
                <c:pt idx="16">
                  <c:v>23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22</c:v>
                </c:pt>
                <c:pt idx="21">
                  <c:v>8</c:v>
                </c:pt>
                <c:pt idx="22">
                  <c:v>6</c:v>
                </c:pt>
                <c:pt idx="23">
                  <c:v>9</c:v>
                </c:pt>
                <c:pt idx="24">
                  <c:v>13</c:v>
                </c:pt>
                <c:pt idx="25">
                  <c:v>8</c:v>
                </c:pt>
                <c:pt idx="26">
                  <c:v>8</c:v>
                </c:pt>
                <c:pt idx="27">
                  <c:v>10</c:v>
                </c:pt>
                <c:pt idx="28">
                  <c:v>6</c:v>
                </c:pt>
                <c:pt idx="29">
                  <c:v>5</c:v>
                </c:pt>
                <c:pt idx="30">
                  <c:v>8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5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3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0-DA40-BA8D-2203709D6B96}"/>
            </c:ext>
          </c:extLst>
        </c:ser>
        <c:ser>
          <c:idx val="1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Observed_vs_Expected!$P$2:$P$69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52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65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74</c:v>
                </c:pt>
                <c:pt idx="61">
                  <c:v>78</c:v>
                </c:pt>
                <c:pt idx="62">
                  <c:v>80</c:v>
                </c:pt>
                <c:pt idx="63">
                  <c:v>81</c:v>
                </c:pt>
                <c:pt idx="64">
                  <c:v>83</c:v>
                </c:pt>
                <c:pt idx="65">
                  <c:v>99</c:v>
                </c:pt>
                <c:pt idx="66">
                  <c:v>102</c:v>
                </c:pt>
                <c:pt idx="67">
                  <c:v>148</c:v>
                </c:pt>
              </c:numCache>
            </c:numRef>
          </c:cat>
          <c:val>
            <c:numRef>
              <c:f>Observed_vs_Expected!$R$2:$R$69</c:f>
              <c:numCache>
                <c:formatCode>0.000</c:formatCode>
                <c:ptCount val="68"/>
                <c:pt idx="0">
                  <c:v>219.44368152692806</c:v>
                </c:pt>
                <c:pt idx="1">
                  <c:v>502.18751963247763</c:v>
                </c:pt>
                <c:pt idx="2">
                  <c:v>766.15650120286386</c:v>
                </c:pt>
                <c:pt idx="3">
                  <c:v>876.65826218411803</c:v>
                </c:pt>
                <c:pt idx="4">
                  <c:v>802.47803935523666</c:v>
                </c:pt>
                <c:pt idx="5">
                  <c:v>612.14560586302161</c:v>
                </c:pt>
                <c:pt idx="6">
                  <c:v>400.24832837453147</c:v>
                </c:pt>
                <c:pt idx="7">
                  <c:v>228.98781348460307</c:v>
                </c:pt>
                <c:pt idx="8">
                  <c:v>116.45085759057517</c:v>
                </c:pt>
                <c:pt idx="9">
                  <c:v>53.298565650713151</c:v>
                </c:pt>
                <c:pt idx="10">
                  <c:v>22.176635935063949</c:v>
                </c:pt>
                <c:pt idx="11">
                  <c:v>8.4583811485861258</c:v>
                </c:pt>
                <c:pt idx="12">
                  <c:v>2.9779453904376392</c:v>
                </c:pt>
                <c:pt idx="13">
                  <c:v>0.97355731471183604</c:v>
                </c:pt>
                <c:pt idx="14">
                  <c:v>0.29705926045551884</c:v>
                </c:pt>
                <c:pt idx="15">
                  <c:v>8.4975933320338759E-2</c:v>
                </c:pt>
                <c:pt idx="16">
                  <c:v>2.2878094646727999E-2</c:v>
                </c:pt>
                <c:pt idx="17">
                  <c:v>5.8172828088708731E-3</c:v>
                </c:pt>
                <c:pt idx="18">
                  <c:v>1.4013267331569048E-3</c:v>
                </c:pt>
                <c:pt idx="19">
                  <c:v>3.2068765499287976E-4</c:v>
                </c:pt>
                <c:pt idx="20">
                  <c:v>6.9893337256087535E-5</c:v>
                </c:pt>
                <c:pt idx="21">
                  <c:v>1.4540720521192441E-5</c:v>
                </c:pt>
                <c:pt idx="22">
                  <c:v>2.8935495357275294E-6</c:v>
                </c:pt>
                <c:pt idx="23">
                  <c:v>5.5181374030675979E-7</c:v>
                </c:pt>
                <c:pt idx="24">
                  <c:v>1.0102417954914487E-7</c:v>
                </c:pt>
                <c:pt idx="25">
                  <c:v>1.7783810195252815E-8</c:v>
                </c:pt>
                <c:pt idx="26">
                  <c:v>3.0146290566745994E-9</c:v>
                </c:pt>
                <c:pt idx="27">
                  <c:v>4.9277501506451115E-10</c:v>
                </c:pt>
                <c:pt idx="28">
                  <c:v>7.7772043858955945E-11</c:v>
                </c:pt>
                <c:pt idx="29">
                  <c:v>1.1865200683995615E-11</c:v>
                </c:pt>
                <c:pt idx="30">
                  <c:v>1.7518068681902572E-12</c:v>
                </c:pt>
                <c:pt idx="31">
                  <c:v>2.5055846330657826E-13</c:v>
                </c:pt>
                <c:pt idx="32">
                  <c:v>3.4751052887072185E-14</c:v>
                </c:pt>
                <c:pt idx="33">
                  <c:v>4.6780179161244808E-15</c:v>
                </c:pt>
                <c:pt idx="34">
                  <c:v>6.1173970150294865E-16</c:v>
                </c:pt>
                <c:pt idx="35">
                  <c:v>7.7774458581625334E-17</c:v>
                </c:pt>
                <c:pt idx="36">
                  <c:v>9.620731689185207E-18</c:v>
                </c:pt>
                <c:pt idx="37">
                  <c:v>1.1587702499203245E-18</c:v>
                </c:pt>
                <c:pt idx="38">
                  <c:v>1.3598955732813075E-19</c:v>
                </c:pt>
                <c:pt idx="39">
                  <c:v>1.5180795634146409E-20</c:v>
                </c:pt>
                <c:pt idx="40">
                  <c:v>1.6543144903671058E-21</c:v>
                </c:pt>
                <c:pt idx="41">
                  <c:v>1.76085035265421E-22</c:v>
                </c:pt>
                <c:pt idx="42">
                  <c:v>1.8316504736192125E-23</c:v>
                </c:pt>
                <c:pt idx="43">
                  <c:v>1.862957379375845E-24</c:v>
                </c:pt>
                <c:pt idx="44">
                  <c:v>1.8536080974517925E-25</c:v>
                </c:pt>
                <c:pt idx="45">
                  <c:v>1.8050651874969342E-26</c:v>
                </c:pt>
                <c:pt idx="46">
                  <c:v>1.7211728368765687E-27</c:v>
                </c:pt>
                <c:pt idx="47">
                  <c:v>1.6076860150483537E-28</c:v>
                </c:pt>
                <c:pt idx="48">
                  <c:v>1.4150465300870781E-29</c:v>
                </c:pt>
                <c:pt idx="49">
                  <c:v>1.1993606373750521E-30</c:v>
                </c:pt>
                <c:pt idx="50">
                  <c:v>9.9806754216309344E-32</c:v>
                </c:pt>
                <c:pt idx="51">
                  <c:v>8.1572680896823465E-33</c:v>
                </c:pt>
                <c:pt idx="52">
                  <c:v>6.2225202087246464E-34</c:v>
                </c:pt>
                <c:pt idx="53">
                  <c:v>4.6688434414877154E-35</c:v>
                </c:pt>
                <c:pt idx="54">
                  <c:v>3.4465965747782714E-36</c:v>
                </c:pt>
                <c:pt idx="55">
                  <c:v>2.4268890706763111E-37</c:v>
                </c:pt>
                <c:pt idx="56">
                  <c:v>1.6578603830687076E-38</c:v>
                </c:pt>
                <c:pt idx="57">
                  <c:v>1.1158655537187406E-39</c:v>
                </c:pt>
                <c:pt idx="58">
                  <c:v>7.4017704285271548E-41</c:v>
                </c:pt>
                <c:pt idx="59">
                  <c:v>4.8396104009492068E-42</c:v>
                </c:pt>
                <c:pt idx="60">
                  <c:v>2.9933087286526331E-43</c:v>
                </c:pt>
                <c:pt idx="61">
                  <c:v>1.7564255251802082E-44</c:v>
                </c:pt>
                <c:pt idx="62">
                  <c:v>1.0048762531825087E-45</c:v>
                </c:pt>
                <c:pt idx="63">
                  <c:v>5.6780654575641997E-47</c:v>
                </c:pt>
                <c:pt idx="64">
                  <c:v>3.1310869844419622E-48</c:v>
                </c:pt>
                <c:pt idx="65">
                  <c:v>1.4475473169606467E-49</c:v>
                </c:pt>
                <c:pt idx="66">
                  <c:v>6.4953929167605779E-51</c:v>
                </c:pt>
                <c:pt idx="67">
                  <c:v>2.0087067659366304E-52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0-DA40-BA8D-2203709D6B96}"/>
            </c:ext>
          </c:extLst>
        </c:ser>
        <c:ser>
          <c:idx val="2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Observed_vs_Expected!$P$2:$P$69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52</c:v>
                </c:pt>
                <c:pt idx="49">
                  <c:v>54</c:v>
                </c:pt>
                <c:pt idx="50">
                  <c:v>55</c:v>
                </c:pt>
                <c:pt idx="51">
                  <c:v>56</c:v>
                </c:pt>
                <c:pt idx="52">
                  <c:v>60</c:v>
                </c:pt>
                <c:pt idx="53">
                  <c:v>61</c:v>
                </c:pt>
                <c:pt idx="54">
                  <c:v>62</c:v>
                </c:pt>
                <c:pt idx="55">
                  <c:v>65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74</c:v>
                </c:pt>
                <c:pt idx="61">
                  <c:v>78</c:v>
                </c:pt>
                <c:pt idx="62">
                  <c:v>80</c:v>
                </c:pt>
                <c:pt idx="63">
                  <c:v>81</c:v>
                </c:pt>
                <c:pt idx="64">
                  <c:v>83</c:v>
                </c:pt>
                <c:pt idx="65">
                  <c:v>99</c:v>
                </c:pt>
                <c:pt idx="66">
                  <c:v>102</c:v>
                </c:pt>
                <c:pt idx="67">
                  <c:v>148</c:v>
                </c:pt>
              </c:numCache>
            </c:numRef>
          </c:cat>
          <c:val>
            <c:numRef>
              <c:f>Observed_vs_Expected!$S$2:$S$69</c:f>
              <c:numCache>
                <c:formatCode>0.000</c:formatCode>
                <c:ptCount val="68"/>
                <c:pt idx="0">
                  <c:v>693.24550441059102</c:v>
                </c:pt>
                <c:pt idx="1">
                  <c:v>569.18089078741048</c:v>
                </c:pt>
                <c:pt idx="2">
                  <c:v>466.42379786097513</c:v>
                </c:pt>
                <c:pt idx="3">
                  <c:v>381.85111354327859</c:v>
                </c:pt>
                <c:pt idx="4">
                  <c:v>312.43308133023214</c:v>
                </c:pt>
                <c:pt idx="5">
                  <c:v>255.53650016770683</c:v>
                </c:pt>
                <c:pt idx="6">
                  <c:v>208.94382138785724</c:v>
                </c:pt>
                <c:pt idx="7">
                  <c:v>170.81130001197729</c:v>
                </c:pt>
                <c:pt idx="8">
                  <c:v>139.61562299207097</c:v>
                </c:pt>
                <c:pt idx="9">
                  <c:v>114.10264600883544</c:v>
                </c:pt>
                <c:pt idx="10">
                  <c:v>93.242050510913558</c:v>
                </c:pt>
                <c:pt idx="11">
                  <c:v>76.18858613487572</c:v>
                </c:pt>
                <c:pt idx="12">
                  <c:v>62.249498260124163</c:v>
                </c:pt>
                <c:pt idx="13">
                  <c:v>50.857409018661407</c:v>
                </c:pt>
                <c:pt idx="14">
                  <c:v>41.547865289381953</c:v>
                </c:pt>
                <c:pt idx="15">
                  <c:v>33.940817040914048</c:v>
                </c:pt>
                <c:pt idx="16">
                  <c:v>27.725374625019416</c:v>
                </c:pt>
                <c:pt idx="17">
                  <c:v>22.647285501121821</c:v>
                </c:pt>
                <c:pt idx="18">
                  <c:v>18.498657613404259</c:v>
                </c:pt>
                <c:pt idx="19">
                  <c:v>15.109533903965733</c:v>
                </c:pt>
                <c:pt idx="20">
                  <c:v>12.340989199650581</c:v>
                </c:pt>
                <c:pt idx="21">
                  <c:v>10.079477375008944</c:v>
                </c:pt>
                <c:pt idx="22">
                  <c:v>8.2322042684970818</c:v>
                </c:pt>
                <c:pt idx="23">
                  <c:v>6.7233414853288282</c:v>
                </c:pt>
                <c:pt idx="24">
                  <c:v>5.49092911452796</c:v>
                </c:pt>
                <c:pt idx="25">
                  <c:v>4.484342578658489</c:v>
                </c:pt>
                <c:pt idx="26">
                  <c:v>3.6622212550641144</c:v>
                </c:pt>
                <c:pt idx="27">
                  <c:v>2.9907749599221303</c:v>
                </c:pt>
                <c:pt idx="28">
                  <c:v>2.4423995518946184</c:v>
                </c:pt>
                <c:pt idx="29">
                  <c:v>1.9945453626537351</c:v>
                </c:pt>
                <c:pt idx="30">
                  <c:v>1.6287923744278712</c:v>
                </c:pt>
                <c:pt idx="31">
                  <c:v>1.3300944364462424</c:v>
                </c:pt>
                <c:pt idx="32">
                  <c:v>1.0861616709236219</c:v>
                </c:pt>
                <c:pt idx="33">
                  <c:v>0.88695583595320759</c:v>
                </c:pt>
                <c:pt idx="34">
                  <c:v>0.72427801059409991</c:v>
                </c:pt>
                <c:pt idx="35">
                  <c:v>0.59143173019948436</c:v>
                </c:pt>
                <c:pt idx="36">
                  <c:v>0.48294777853776388</c:v>
                </c:pt>
                <c:pt idx="37">
                  <c:v>0.39435936139316746</c:v>
                </c:pt>
                <c:pt idx="38">
                  <c:v>0.32201844571392102</c:v>
                </c:pt>
                <c:pt idx="39">
                  <c:v>0.2629438791100161</c:v>
                </c:pt>
                <c:pt idx="40">
                  <c:v>0.21470515244765304</c:v>
                </c:pt>
                <c:pt idx="41">
                  <c:v>0.17531500489314561</c:v>
                </c:pt>
                <c:pt idx="42">
                  <c:v>0.14315056169103199</c:v>
                </c:pt>
                <c:pt idx="43">
                  <c:v>0.1168865363068963</c:v>
                </c:pt>
                <c:pt idx="44">
                  <c:v>9.5440673913888968E-2</c:v>
                </c:pt>
                <c:pt idx="45">
                  <c:v>7.792919377267242E-2</c:v>
                </c:pt>
                <c:pt idx="46">
                  <c:v>6.3630398626555382E-2</c:v>
                </c:pt>
                <c:pt idx="47">
                  <c:v>5.1954954686488308E-2</c:v>
                </c:pt>
                <c:pt idx="48">
                  <c:v>4.2421242647321326E-2</c:v>
                </c:pt>
                <c:pt idx="49">
                  <c:v>3.4636677534998328E-2</c:v>
                </c:pt>
                <c:pt idx="50">
                  <c:v>2.8280519063803144E-2</c:v>
                </c:pt>
                <c:pt idx="51">
                  <c:v>2.3090689228839768E-2</c:v>
                </c:pt>
                <c:pt idx="52">
                  <c:v>1.8852998796065973E-2</c:v>
                </c:pt>
                <c:pt idx="53">
                  <c:v>1.5392976688163777E-2</c:v>
                </c:pt>
                <c:pt idx="54">
                  <c:v>1.2567921404511091E-2</c:v>
                </c:pt>
                <c:pt idx="55">
                  <c:v>1.0261256962590261E-2</c:v>
                </c:pt>
                <c:pt idx="56">
                  <c:v>8.3779037193006979E-3</c:v>
                </c:pt>
                <c:pt idx="57">
                  <c:v>6.8402041676318606E-3</c:v>
                </c:pt>
                <c:pt idx="58">
                  <c:v>5.5847237385851789E-3</c:v>
                </c:pt>
                <c:pt idx="59">
                  <c:v>4.5596686627386697E-3</c:v>
                </c:pt>
                <c:pt idx="60">
                  <c:v>3.7227253663421793E-3</c:v>
                </c:pt>
                <c:pt idx="61">
                  <c:v>3.0393816207200963E-3</c:v>
                </c:pt>
                <c:pt idx="62">
                  <c:v>2.4814633097148698E-3</c:v>
                </c:pt>
                <c:pt idx="63">
                  <c:v>2.0259545989210264E-3</c:v>
                </c:pt>
                <c:pt idx="64">
                  <c:v>1.6540554541056983E-3</c:v>
                </c:pt>
                <c:pt idx="65">
                  <c:v>1.3503944570855339E-3</c:v>
                </c:pt>
                <c:pt idx="66">
                  <c:v>1.1024775029195731E-3</c:v>
                </c:pt>
                <c:pt idx="67">
                  <c:v>9.0004355505813552E-4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0-DA40-BA8D-2203709D6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20"/>
        <c:axId val="736446175"/>
        <c:axId val="128587728"/>
      </c:barChart>
      <c:catAx>
        <c:axId val="73644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7728"/>
        <c:crosses val="autoZero"/>
        <c:auto val="1"/>
        <c:lblAlgn val="ctr"/>
        <c:lblOffset val="100"/>
        <c:noMultiLvlLbl val="0"/>
      </c:catAx>
      <c:valAx>
        <c:axId val="128587728"/>
        <c:scaling>
          <c:orientation val="minMax"/>
          <c:max val="2100"/>
          <c:min val="-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44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996446581184142"/>
          <c:y val="1.8718684625608144E-2"/>
          <c:w val="0.18909192566792446"/>
          <c:h val="4.9755405957031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Observed vs Expected</a:t>
            </a:r>
            <a:r>
              <a:rPr lang="en-US" sz="3200" baseline="0"/>
              <a:t> Poisson &amp; NBD - Bears Eagles 1-25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686595762271319E-2"/>
          <c:y val="6.4279577538315189E-2"/>
          <c:w val="0.97510053441798683"/>
          <c:h val="0.89597498585721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Observed_vs_Expected!$Q$1</c:f>
              <c:strCache>
                <c:ptCount val="1"/>
                <c:pt idx="0">
                  <c:v>Actual
Count (n_x)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Observed_vs_Expected!$Q$2:$Q$26</c:f>
              <c:numCache>
                <c:formatCode>General</c:formatCode>
                <c:ptCount val="25"/>
                <c:pt idx="0">
                  <c:v>2021</c:v>
                </c:pt>
                <c:pt idx="1">
                  <c:v>780</c:v>
                </c:pt>
                <c:pt idx="2">
                  <c:v>432</c:v>
                </c:pt>
                <c:pt idx="3">
                  <c:v>291</c:v>
                </c:pt>
                <c:pt idx="4">
                  <c:v>199</c:v>
                </c:pt>
                <c:pt idx="5">
                  <c:v>143</c:v>
                </c:pt>
                <c:pt idx="6">
                  <c:v>119</c:v>
                </c:pt>
                <c:pt idx="7">
                  <c:v>74</c:v>
                </c:pt>
                <c:pt idx="8">
                  <c:v>76</c:v>
                </c:pt>
                <c:pt idx="9">
                  <c:v>51</c:v>
                </c:pt>
                <c:pt idx="10">
                  <c:v>62</c:v>
                </c:pt>
                <c:pt idx="11">
                  <c:v>38</c:v>
                </c:pt>
                <c:pt idx="12">
                  <c:v>32</c:v>
                </c:pt>
                <c:pt idx="13">
                  <c:v>25</c:v>
                </c:pt>
                <c:pt idx="14">
                  <c:v>32</c:v>
                </c:pt>
                <c:pt idx="15">
                  <c:v>24</c:v>
                </c:pt>
                <c:pt idx="16">
                  <c:v>23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22</c:v>
                </c:pt>
                <c:pt idx="21">
                  <c:v>8</c:v>
                </c:pt>
                <c:pt idx="22">
                  <c:v>6</c:v>
                </c:pt>
                <c:pt idx="23">
                  <c:v>9</c:v>
                </c:pt>
                <c:pt idx="2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C645-BD36-20E20E174135}"/>
            </c:ext>
          </c:extLst>
        </c:ser>
        <c:ser>
          <c:idx val="1"/>
          <c:order val="1"/>
          <c:tx>
            <c:strRef>
              <c:f>Observed_vs_Expected!$R$1</c:f>
              <c:strCache>
                <c:ptCount val="1"/>
                <c:pt idx="0">
                  <c:v>Poisson 
Expected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Observed_vs_Expected!$R$2:$R$26</c:f>
              <c:numCache>
                <c:formatCode>0.000</c:formatCode>
                <c:ptCount val="25"/>
                <c:pt idx="0">
                  <c:v>219.44368152692806</c:v>
                </c:pt>
                <c:pt idx="1">
                  <c:v>502.18751963247763</c:v>
                </c:pt>
                <c:pt idx="2">
                  <c:v>766.15650120286386</c:v>
                </c:pt>
                <c:pt idx="3">
                  <c:v>876.65826218411803</c:v>
                </c:pt>
                <c:pt idx="4">
                  <c:v>802.47803935523666</c:v>
                </c:pt>
                <c:pt idx="5">
                  <c:v>612.14560586302161</c:v>
                </c:pt>
                <c:pt idx="6">
                  <c:v>400.24832837453147</c:v>
                </c:pt>
                <c:pt idx="7">
                  <c:v>228.98781348460307</c:v>
                </c:pt>
                <c:pt idx="8">
                  <c:v>116.45085759057517</c:v>
                </c:pt>
                <c:pt idx="9">
                  <c:v>53.298565650713151</c:v>
                </c:pt>
                <c:pt idx="10">
                  <c:v>22.176635935063949</c:v>
                </c:pt>
                <c:pt idx="11">
                  <c:v>8.4583811485861258</c:v>
                </c:pt>
                <c:pt idx="12">
                  <c:v>2.9779453904376392</c:v>
                </c:pt>
                <c:pt idx="13">
                  <c:v>0.97355731471183604</c:v>
                </c:pt>
                <c:pt idx="14">
                  <c:v>0.29705926045551884</c:v>
                </c:pt>
                <c:pt idx="15">
                  <c:v>8.4975933320338759E-2</c:v>
                </c:pt>
                <c:pt idx="16">
                  <c:v>2.2878094646727999E-2</c:v>
                </c:pt>
                <c:pt idx="17">
                  <c:v>5.8172828088708731E-3</c:v>
                </c:pt>
                <c:pt idx="18">
                  <c:v>1.4013267331569048E-3</c:v>
                </c:pt>
                <c:pt idx="19">
                  <c:v>3.2068765499287976E-4</c:v>
                </c:pt>
                <c:pt idx="20">
                  <c:v>6.9893337256087535E-5</c:v>
                </c:pt>
                <c:pt idx="21">
                  <c:v>1.4540720521192441E-5</c:v>
                </c:pt>
                <c:pt idx="22">
                  <c:v>2.8935495357275294E-6</c:v>
                </c:pt>
                <c:pt idx="23">
                  <c:v>5.5181374030675979E-7</c:v>
                </c:pt>
                <c:pt idx="24">
                  <c:v>1.0102417954914487E-7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C-C645-BD36-20E20E174135}"/>
            </c:ext>
          </c:extLst>
        </c:ser>
        <c:ser>
          <c:idx val="2"/>
          <c:order val="2"/>
          <c:tx>
            <c:strRef>
              <c:f>Observed_vs_Expected!$S$1</c:f>
              <c:strCache>
                <c:ptCount val="1"/>
                <c:pt idx="0">
                  <c:v>NBD 
Expected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Observed_vs_Expected!$S$2:$S$26</c:f>
              <c:numCache>
                <c:formatCode>0.000</c:formatCode>
                <c:ptCount val="25"/>
                <c:pt idx="0">
                  <c:v>693.24550441059102</c:v>
                </c:pt>
                <c:pt idx="1">
                  <c:v>569.18089078741048</c:v>
                </c:pt>
                <c:pt idx="2">
                  <c:v>466.42379786097513</c:v>
                </c:pt>
                <c:pt idx="3">
                  <c:v>381.85111354327859</c:v>
                </c:pt>
                <c:pt idx="4">
                  <c:v>312.43308133023214</c:v>
                </c:pt>
                <c:pt idx="5">
                  <c:v>255.53650016770683</c:v>
                </c:pt>
                <c:pt idx="6">
                  <c:v>208.94382138785724</c:v>
                </c:pt>
                <c:pt idx="7">
                  <c:v>170.81130001197729</c:v>
                </c:pt>
                <c:pt idx="8">
                  <c:v>139.61562299207097</c:v>
                </c:pt>
                <c:pt idx="9">
                  <c:v>114.10264600883544</c:v>
                </c:pt>
                <c:pt idx="10">
                  <c:v>93.242050510913558</c:v>
                </c:pt>
                <c:pt idx="11">
                  <c:v>76.18858613487572</c:v>
                </c:pt>
                <c:pt idx="12">
                  <c:v>62.249498260124163</c:v>
                </c:pt>
                <c:pt idx="13">
                  <c:v>50.857409018661407</c:v>
                </c:pt>
                <c:pt idx="14">
                  <c:v>41.547865289381953</c:v>
                </c:pt>
                <c:pt idx="15">
                  <c:v>33.940817040914048</c:v>
                </c:pt>
                <c:pt idx="16">
                  <c:v>27.725374625019416</c:v>
                </c:pt>
                <c:pt idx="17">
                  <c:v>22.647285501121821</c:v>
                </c:pt>
                <c:pt idx="18">
                  <c:v>18.498657613404259</c:v>
                </c:pt>
                <c:pt idx="19">
                  <c:v>15.109533903965733</c:v>
                </c:pt>
                <c:pt idx="20">
                  <c:v>12.340989199650581</c:v>
                </c:pt>
                <c:pt idx="21">
                  <c:v>10.079477375008944</c:v>
                </c:pt>
                <c:pt idx="22">
                  <c:v>8.2322042684970818</c:v>
                </c:pt>
                <c:pt idx="23">
                  <c:v>6.7233414853288282</c:v>
                </c:pt>
                <c:pt idx="24">
                  <c:v>5.49092911452796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C-C645-BD36-20E20E174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610000"/>
        <c:axId val="365831679"/>
      </c:barChart>
      <c:catAx>
        <c:axId val="84661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831679"/>
        <c:crosses val="autoZero"/>
        <c:auto val="1"/>
        <c:lblAlgn val="ctr"/>
        <c:lblOffset val="100"/>
        <c:noMultiLvlLbl val="0"/>
      </c:catAx>
      <c:valAx>
        <c:axId val="365831679"/>
        <c:scaling>
          <c:orientation val="minMax"/>
          <c:max val="2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61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203223372060235"/>
          <c:y val="7.2677221612230296E-3"/>
          <c:w val="0.11796777321003935"/>
          <c:h val="9.2646907519656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10</xdr:col>
      <xdr:colOff>600480</xdr:colOff>
      <xdr:row>57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206609</xdr:colOff>
      <xdr:row>0</xdr:row>
      <xdr:rowOff>135340</xdr:rowOff>
    </xdr:from>
    <xdr:to>
      <xdr:col>46</xdr:col>
      <xdr:colOff>434474</xdr:colOff>
      <xdr:row>69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D4B804-FCE2-1C0D-F689-B82CDF091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643568</xdr:colOff>
      <xdr:row>71</xdr:row>
      <xdr:rowOff>92419</xdr:rowOff>
    </xdr:from>
    <xdr:to>
      <xdr:col>46</xdr:col>
      <xdr:colOff>558800</xdr:colOff>
      <xdr:row>108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207161-ABD7-D21E-43BB-BCA31BC65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showGridLines="0" tabSelected="1" topLeftCell="A64" zoomScaleNormal="100" workbookViewId="0">
      <selection activeCell="J70" sqref="J70"/>
    </sheetView>
  </sheetViews>
  <sheetFormatPr baseColWidth="10" defaultColWidth="8.6640625" defaultRowHeight="15" x14ac:dyDescent="0.2"/>
  <cols>
    <col min="1" max="1" width="10.83203125" customWidth="1"/>
    <col min="2" max="2" width="22" customWidth="1"/>
    <col min="3" max="11" width="14" customWidth="1"/>
  </cols>
  <sheetData>
    <row r="1" spans="1:11" ht="31.5" customHeight="1" x14ac:dyDescent="0.2">
      <c r="A1" s="7" t="s">
        <v>0</v>
      </c>
      <c r="B1" s="28"/>
      <c r="C1" s="28"/>
      <c r="D1" s="28"/>
      <c r="E1" s="29"/>
      <c r="F1" s="21"/>
      <c r="G1" s="17"/>
      <c r="H1" s="17"/>
      <c r="I1" s="17"/>
      <c r="J1" s="17"/>
      <c r="K1" s="17"/>
    </row>
    <row r="2" spans="1:11" ht="15.75" customHeight="1" x14ac:dyDescent="0.2">
      <c r="A2" s="30" t="s">
        <v>56</v>
      </c>
      <c r="B2" s="31"/>
      <c r="C2" s="31"/>
      <c r="D2" s="31"/>
      <c r="E2" s="32"/>
      <c r="F2" s="22"/>
      <c r="G2" s="18"/>
      <c r="H2" s="18"/>
      <c r="I2" s="18"/>
      <c r="J2" s="18"/>
      <c r="K2" s="18"/>
    </row>
    <row r="3" spans="1:11" ht="15" customHeight="1" x14ac:dyDescent="0.2">
      <c r="F3" s="23"/>
      <c r="G3" s="19"/>
      <c r="H3" s="19"/>
      <c r="I3" s="19"/>
      <c r="J3" s="19"/>
      <c r="K3" s="19"/>
    </row>
    <row r="4" spans="1:11" ht="21.75" customHeight="1" x14ac:dyDescent="0.2">
      <c r="A4" s="25" t="s">
        <v>1</v>
      </c>
      <c r="B4" s="26"/>
      <c r="C4" s="26"/>
      <c r="D4" s="26"/>
      <c r="E4" s="27"/>
      <c r="F4" s="24"/>
      <c r="G4" s="20"/>
      <c r="H4" s="20"/>
      <c r="I4" s="20"/>
      <c r="J4" s="20"/>
      <c r="K4" s="20"/>
    </row>
    <row r="5" spans="1:11" ht="27.75" customHeight="1" x14ac:dyDescent="0.2">
      <c r="A5" s="8" t="s">
        <v>2</v>
      </c>
      <c r="B5" s="8" t="s">
        <v>3</v>
      </c>
      <c r="C5" s="8" t="s">
        <v>57</v>
      </c>
    </row>
    <row r="6" spans="1:11" ht="15" customHeight="1" x14ac:dyDescent="0.2">
      <c r="A6" s="33">
        <v>1</v>
      </c>
      <c r="B6" s="33">
        <v>1</v>
      </c>
      <c r="C6" s="34">
        <v>2021</v>
      </c>
    </row>
    <row r="7" spans="1:11" ht="15" customHeight="1" x14ac:dyDescent="0.2">
      <c r="A7" s="33">
        <v>2</v>
      </c>
      <c r="B7" s="33">
        <v>2</v>
      </c>
      <c r="C7" s="34">
        <v>780</v>
      </c>
    </row>
    <row r="8" spans="1:11" ht="15" customHeight="1" x14ac:dyDescent="0.2">
      <c r="A8" s="33">
        <v>3</v>
      </c>
      <c r="B8" s="33">
        <v>3</v>
      </c>
      <c r="C8" s="34">
        <v>432</v>
      </c>
    </row>
    <row r="9" spans="1:11" ht="15" customHeight="1" x14ac:dyDescent="0.2">
      <c r="A9" s="33">
        <v>4</v>
      </c>
      <c r="B9" s="33">
        <v>4</v>
      </c>
      <c r="C9" s="34">
        <v>291</v>
      </c>
    </row>
    <row r="10" spans="1:11" ht="15" customHeight="1" x14ac:dyDescent="0.2">
      <c r="A10" s="33">
        <v>5</v>
      </c>
      <c r="B10" s="33">
        <v>5</v>
      </c>
      <c r="C10" s="34">
        <v>199</v>
      </c>
    </row>
    <row r="11" spans="1:11" ht="15" customHeight="1" x14ac:dyDescent="0.2">
      <c r="A11" s="33">
        <v>6</v>
      </c>
      <c r="B11" s="33">
        <v>6</v>
      </c>
      <c r="C11" s="34">
        <v>143</v>
      </c>
    </row>
    <row r="12" spans="1:11" ht="15" customHeight="1" x14ac:dyDescent="0.2">
      <c r="A12" s="33">
        <v>7</v>
      </c>
      <c r="B12" s="33">
        <v>7</v>
      </c>
      <c r="C12" s="34">
        <v>119</v>
      </c>
    </row>
    <row r="13" spans="1:11" ht="15" customHeight="1" x14ac:dyDescent="0.2">
      <c r="A13" s="33">
        <v>8</v>
      </c>
      <c r="B13" s="33">
        <v>8</v>
      </c>
      <c r="C13" s="34">
        <v>74</v>
      </c>
    </row>
    <row r="14" spans="1:11" ht="15" customHeight="1" x14ac:dyDescent="0.2">
      <c r="A14" s="33">
        <v>9</v>
      </c>
      <c r="B14" s="33">
        <v>9</v>
      </c>
      <c r="C14" s="34">
        <v>76</v>
      </c>
    </row>
    <row r="15" spans="1:11" ht="15" customHeight="1" x14ac:dyDescent="0.2">
      <c r="A15" s="33">
        <v>10</v>
      </c>
      <c r="B15" s="33">
        <v>10</v>
      </c>
      <c r="C15" s="34">
        <v>51</v>
      </c>
    </row>
    <row r="16" spans="1:11" ht="15" customHeight="1" x14ac:dyDescent="0.2">
      <c r="A16" s="33">
        <v>11</v>
      </c>
      <c r="B16" s="33">
        <v>11</v>
      </c>
      <c r="C16" s="34">
        <v>62</v>
      </c>
    </row>
    <row r="17" spans="1:3" ht="15" customHeight="1" x14ac:dyDescent="0.2">
      <c r="A17" s="33">
        <v>12</v>
      </c>
      <c r="B17" s="33">
        <v>12</v>
      </c>
      <c r="C17" s="34">
        <v>38</v>
      </c>
    </row>
    <row r="18" spans="1:3" ht="15" customHeight="1" x14ac:dyDescent="0.2">
      <c r="A18" s="33">
        <v>13</v>
      </c>
      <c r="B18" s="33">
        <v>13</v>
      </c>
      <c r="C18" s="34">
        <v>32</v>
      </c>
    </row>
    <row r="19" spans="1:3" ht="15" customHeight="1" x14ac:dyDescent="0.2">
      <c r="A19" s="33">
        <v>14</v>
      </c>
      <c r="B19" s="33">
        <v>14</v>
      </c>
      <c r="C19" s="34">
        <v>25</v>
      </c>
    </row>
    <row r="20" spans="1:3" ht="15" customHeight="1" x14ac:dyDescent="0.2">
      <c r="A20" s="33">
        <v>15</v>
      </c>
      <c r="B20" s="33">
        <v>15</v>
      </c>
      <c r="C20" s="34">
        <v>32</v>
      </c>
    </row>
    <row r="21" spans="1:3" ht="15" customHeight="1" x14ac:dyDescent="0.2">
      <c r="A21" s="33">
        <v>16</v>
      </c>
      <c r="B21" s="33">
        <v>16</v>
      </c>
      <c r="C21" s="34">
        <v>24</v>
      </c>
    </row>
    <row r="22" spans="1:3" ht="15" customHeight="1" x14ac:dyDescent="0.2">
      <c r="A22" s="33">
        <v>17</v>
      </c>
      <c r="B22" s="33">
        <v>17</v>
      </c>
      <c r="C22" s="34">
        <v>23</v>
      </c>
    </row>
    <row r="23" spans="1:3" ht="15" customHeight="1" x14ac:dyDescent="0.2">
      <c r="A23" s="33">
        <v>18</v>
      </c>
      <c r="B23" s="33">
        <v>18</v>
      </c>
      <c r="C23" s="34">
        <v>21</v>
      </c>
    </row>
    <row r="24" spans="1:3" ht="15" customHeight="1" x14ac:dyDescent="0.2">
      <c r="A24" s="33">
        <v>19</v>
      </c>
      <c r="B24" s="33">
        <v>19</v>
      </c>
      <c r="C24" s="34">
        <v>17</v>
      </c>
    </row>
    <row r="25" spans="1:3" ht="15" customHeight="1" x14ac:dyDescent="0.2">
      <c r="A25" s="33">
        <v>20</v>
      </c>
      <c r="B25" s="33">
        <v>20</v>
      </c>
      <c r="C25" s="34">
        <v>16</v>
      </c>
    </row>
    <row r="26" spans="1:3" ht="15" customHeight="1" x14ac:dyDescent="0.2">
      <c r="A26" s="33">
        <v>21</v>
      </c>
      <c r="B26" s="33">
        <v>21</v>
      </c>
      <c r="C26" s="34">
        <v>22</v>
      </c>
    </row>
    <row r="27" spans="1:3" ht="15" customHeight="1" x14ac:dyDescent="0.2">
      <c r="A27" s="33">
        <v>22</v>
      </c>
      <c r="B27" s="33">
        <v>22</v>
      </c>
      <c r="C27" s="34">
        <v>8</v>
      </c>
    </row>
    <row r="28" spans="1:3" ht="15" customHeight="1" x14ac:dyDescent="0.2">
      <c r="A28" s="33">
        <v>23</v>
      </c>
      <c r="B28" s="33">
        <v>23</v>
      </c>
      <c r="C28" s="34">
        <v>6</v>
      </c>
    </row>
    <row r="29" spans="1:3" ht="15" customHeight="1" x14ac:dyDescent="0.2">
      <c r="A29" s="33">
        <v>24</v>
      </c>
      <c r="B29" s="33">
        <v>24</v>
      </c>
      <c r="C29" s="34">
        <v>9</v>
      </c>
    </row>
    <row r="30" spans="1:3" ht="15" customHeight="1" x14ac:dyDescent="0.2">
      <c r="A30" s="33">
        <v>25</v>
      </c>
      <c r="B30" s="33">
        <v>25</v>
      </c>
      <c r="C30" s="34">
        <v>13</v>
      </c>
    </row>
    <row r="31" spans="1:3" ht="15" customHeight="1" x14ac:dyDescent="0.2">
      <c r="A31" s="33">
        <v>26</v>
      </c>
      <c r="B31" s="33">
        <v>26</v>
      </c>
      <c r="C31" s="34">
        <v>8</v>
      </c>
    </row>
    <row r="32" spans="1:3" ht="15" customHeight="1" x14ac:dyDescent="0.2">
      <c r="A32" s="33">
        <v>27</v>
      </c>
      <c r="B32" s="33">
        <v>27</v>
      </c>
      <c r="C32" s="34">
        <v>8</v>
      </c>
    </row>
    <row r="33" spans="1:3" ht="15" customHeight="1" x14ac:dyDescent="0.2">
      <c r="A33" s="33">
        <v>28</v>
      </c>
      <c r="B33" s="33">
        <v>28</v>
      </c>
      <c r="C33" s="34">
        <v>10</v>
      </c>
    </row>
    <row r="34" spans="1:3" ht="15" customHeight="1" x14ac:dyDescent="0.2">
      <c r="A34" s="33">
        <v>29</v>
      </c>
      <c r="B34" s="33">
        <v>29</v>
      </c>
      <c r="C34" s="34">
        <v>6</v>
      </c>
    </row>
    <row r="35" spans="1:3" ht="15" customHeight="1" x14ac:dyDescent="0.2">
      <c r="A35" s="33">
        <v>30</v>
      </c>
      <c r="B35" s="33">
        <v>30</v>
      </c>
      <c r="C35" s="34">
        <v>5</v>
      </c>
    </row>
    <row r="36" spans="1:3" ht="15" customHeight="1" x14ac:dyDescent="0.2">
      <c r="A36" s="33">
        <v>31</v>
      </c>
      <c r="B36" s="33">
        <v>31</v>
      </c>
      <c r="C36" s="34">
        <v>8</v>
      </c>
    </row>
    <row r="37" spans="1:3" ht="15" customHeight="1" x14ac:dyDescent="0.2">
      <c r="A37" s="33">
        <v>32</v>
      </c>
      <c r="B37" s="33">
        <v>32</v>
      </c>
      <c r="C37" s="34">
        <v>5</v>
      </c>
    </row>
    <row r="38" spans="1:3" ht="15" customHeight="1" x14ac:dyDescent="0.2">
      <c r="A38" s="33">
        <v>33</v>
      </c>
      <c r="B38" s="33">
        <v>33</v>
      </c>
      <c r="C38" s="34">
        <v>5</v>
      </c>
    </row>
    <row r="39" spans="1:3" ht="15" customHeight="1" x14ac:dyDescent="0.2">
      <c r="A39" s="33">
        <v>34</v>
      </c>
      <c r="B39" s="33">
        <v>34</v>
      </c>
      <c r="C39" s="34">
        <v>5</v>
      </c>
    </row>
    <row r="40" spans="1:3" ht="15" customHeight="1" x14ac:dyDescent="0.2">
      <c r="A40" s="33">
        <v>35</v>
      </c>
      <c r="B40" s="33">
        <v>35</v>
      </c>
      <c r="C40" s="34">
        <v>3</v>
      </c>
    </row>
    <row r="41" spans="1:3" ht="15" customHeight="1" x14ac:dyDescent="0.2">
      <c r="A41" s="33">
        <v>36</v>
      </c>
      <c r="B41" s="33">
        <v>36</v>
      </c>
      <c r="C41" s="34">
        <v>4</v>
      </c>
    </row>
    <row r="42" spans="1:3" ht="15" customHeight="1" x14ac:dyDescent="0.2">
      <c r="A42" s="33">
        <v>37</v>
      </c>
      <c r="B42" s="33">
        <v>37</v>
      </c>
      <c r="C42" s="34">
        <v>5</v>
      </c>
    </row>
    <row r="43" spans="1:3" ht="15" customHeight="1" x14ac:dyDescent="0.2">
      <c r="A43" s="33">
        <v>38</v>
      </c>
      <c r="B43" s="33">
        <v>38</v>
      </c>
      <c r="C43" s="34">
        <v>3</v>
      </c>
    </row>
    <row r="44" spans="1:3" ht="15" customHeight="1" x14ac:dyDescent="0.2">
      <c r="A44" s="33">
        <v>39</v>
      </c>
      <c r="B44" s="33">
        <v>39</v>
      </c>
      <c r="C44" s="34">
        <v>2</v>
      </c>
    </row>
    <row r="45" spans="1:3" ht="15" customHeight="1" x14ac:dyDescent="0.2">
      <c r="A45" s="33">
        <v>40</v>
      </c>
      <c r="B45" s="33">
        <v>41</v>
      </c>
      <c r="C45" s="34">
        <v>4</v>
      </c>
    </row>
    <row r="46" spans="1:3" ht="15" customHeight="1" x14ac:dyDescent="0.2">
      <c r="A46" s="33">
        <v>41</v>
      </c>
      <c r="B46" s="33">
        <v>42</v>
      </c>
      <c r="C46" s="34">
        <v>2</v>
      </c>
    </row>
    <row r="47" spans="1:3" ht="15" customHeight="1" x14ac:dyDescent="0.2">
      <c r="A47" s="33">
        <v>42</v>
      </c>
      <c r="B47" s="33">
        <v>43</v>
      </c>
      <c r="C47" s="34">
        <v>2</v>
      </c>
    </row>
    <row r="48" spans="1:3" ht="15" customHeight="1" x14ac:dyDescent="0.2">
      <c r="A48" s="33">
        <v>43</v>
      </c>
      <c r="B48" s="33">
        <v>44</v>
      </c>
      <c r="C48" s="34">
        <v>2</v>
      </c>
    </row>
    <row r="49" spans="1:3" ht="15" customHeight="1" x14ac:dyDescent="0.2">
      <c r="A49" s="33">
        <v>44</v>
      </c>
      <c r="B49" s="33">
        <v>45</v>
      </c>
      <c r="C49" s="34">
        <v>2</v>
      </c>
    </row>
    <row r="50" spans="1:3" ht="15" customHeight="1" x14ac:dyDescent="0.2">
      <c r="A50" s="33">
        <v>45</v>
      </c>
      <c r="B50" s="33">
        <v>46</v>
      </c>
      <c r="C50" s="34">
        <v>5</v>
      </c>
    </row>
    <row r="51" spans="1:3" ht="15" customHeight="1" x14ac:dyDescent="0.2">
      <c r="A51" s="33">
        <v>46</v>
      </c>
      <c r="B51" s="33">
        <v>47</v>
      </c>
      <c r="C51" s="34">
        <v>2</v>
      </c>
    </row>
    <row r="52" spans="1:3" ht="15" customHeight="1" x14ac:dyDescent="0.2">
      <c r="A52" s="33">
        <v>47</v>
      </c>
      <c r="B52" s="33">
        <v>48</v>
      </c>
      <c r="C52" s="34">
        <v>3</v>
      </c>
    </row>
    <row r="53" spans="1:3" ht="15" customHeight="1" x14ac:dyDescent="0.2">
      <c r="A53" s="33">
        <v>48</v>
      </c>
      <c r="B53" s="33">
        <v>49</v>
      </c>
      <c r="C53" s="34">
        <v>1</v>
      </c>
    </row>
    <row r="54" spans="1:3" ht="15" customHeight="1" x14ac:dyDescent="0.2">
      <c r="A54" s="33">
        <v>49</v>
      </c>
      <c r="B54" s="33">
        <v>52</v>
      </c>
      <c r="C54" s="34">
        <v>3</v>
      </c>
    </row>
    <row r="55" spans="1:3" ht="15" customHeight="1" x14ac:dyDescent="0.2">
      <c r="A55" s="33">
        <v>50</v>
      </c>
      <c r="B55" s="33">
        <v>54</v>
      </c>
      <c r="C55" s="34">
        <v>1</v>
      </c>
    </row>
    <row r="56" spans="1:3" ht="15" customHeight="1" x14ac:dyDescent="0.2">
      <c r="A56" s="33">
        <v>51</v>
      </c>
      <c r="B56" s="33">
        <v>55</v>
      </c>
      <c r="C56" s="34">
        <v>2</v>
      </c>
    </row>
    <row r="57" spans="1:3" ht="15" customHeight="1" x14ac:dyDescent="0.2">
      <c r="A57" s="33">
        <v>52</v>
      </c>
      <c r="B57" s="33">
        <v>56</v>
      </c>
      <c r="C57" s="34">
        <v>3</v>
      </c>
    </row>
    <row r="58" spans="1:3" ht="15" customHeight="1" x14ac:dyDescent="0.2">
      <c r="A58" s="33">
        <v>53</v>
      </c>
      <c r="B58" s="33">
        <v>60</v>
      </c>
      <c r="C58" s="34">
        <v>1</v>
      </c>
    </row>
    <row r="59" spans="1:3" ht="15" customHeight="1" x14ac:dyDescent="0.2">
      <c r="A59" s="33">
        <v>54</v>
      </c>
      <c r="B59" s="33">
        <v>61</v>
      </c>
      <c r="C59" s="34">
        <v>2</v>
      </c>
    </row>
    <row r="60" spans="1:3" ht="15" customHeight="1" x14ac:dyDescent="0.2">
      <c r="A60" s="33">
        <v>55</v>
      </c>
      <c r="B60" s="33">
        <v>62</v>
      </c>
      <c r="C60" s="34">
        <v>1</v>
      </c>
    </row>
    <row r="61" spans="1:3" ht="15" customHeight="1" x14ac:dyDescent="0.2">
      <c r="A61" s="33">
        <v>56</v>
      </c>
      <c r="B61" s="33">
        <v>65</v>
      </c>
      <c r="C61" s="34">
        <v>1</v>
      </c>
    </row>
    <row r="62" spans="1:3" ht="15" customHeight="1" x14ac:dyDescent="0.2">
      <c r="A62" s="33">
        <v>57</v>
      </c>
      <c r="B62" s="33">
        <v>67</v>
      </c>
      <c r="C62" s="34">
        <v>1</v>
      </c>
    </row>
    <row r="63" spans="1:3" ht="15" customHeight="1" x14ac:dyDescent="0.2">
      <c r="A63" s="33">
        <v>58</v>
      </c>
      <c r="B63" s="33">
        <v>68</v>
      </c>
      <c r="C63" s="34">
        <v>1</v>
      </c>
    </row>
    <row r="64" spans="1:3" ht="15" customHeight="1" x14ac:dyDescent="0.2">
      <c r="A64" s="33">
        <v>59</v>
      </c>
      <c r="B64" s="33">
        <v>69</v>
      </c>
      <c r="C64" s="34">
        <v>1</v>
      </c>
    </row>
    <row r="65" spans="1:11" ht="15" customHeight="1" x14ac:dyDescent="0.2">
      <c r="A65" s="33">
        <v>60</v>
      </c>
      <c r="B65" s="33">
        <v>70</v>
      </c>
      <c r="C65" s="34">
        <v>1</v>
      </c>
    </row>
    <row r="66" spans="1:11" ht="15" customHeight="1" x14ac:dyDescent="0.2">
      <c r="A66" s="33">
        <v>61</v>
      </c>
      <c r="B66" s="33">
        <v>74</v>
      </c>
      <c r="C66" s="34">
        <v>1</v>
      </c>
    </row>
    <row r="67" spans="1:11" ht="15" customHeight="1" x14ac:dyDescent="0.2">
      <c r="A67" s="33">
        <v>62</v>
      </c>
      <c r="B67" s="33">
        <v>78</v>
      </c>
      <c r="C67" s="34">
        <v>1</v>
      </c>
    </row>
    <row r="68" spans="1:11" ht="15" customHeight="1" x14ac:dyDescent="0.2">
      <c r="A68" s="33">
        <v>63</v>
      </c>
      <c r="B68" s="33">
        <v>80</v>
      </c>
      <c r="C68" s="34">
        <v>1</v>
      </c>
    </row>
    <row r="69" spans="1:11" ht="15" customHeight="1" x14ac:dyDescent="0.2">
      <c r="A69" s="33">
        <v>64</v>
      </c>
      <c r="B69" s="33">
        <v>81</v>
      </c>
      <c r="C69" s="34">
        <v>2</v>
      </c>
    </row>
    <row r="70" spans="1:11" ht="15" customHeight="1" x14ac:dyDescent="0.2">
      <c r="A70" s="33">
        <v>65</v>
      </c>
      <c r="B70" s="33">
        <v>83</v>
      </c>
      <c r="C70" s="34">
        <v>1</v>
      </c>
    </row>
    <row r="71" spans="1:11" ht="15" customHeight="1" x14ac:dyDescent="0.2">
      <c r="A71" s="33">
        <v>66</v>
      </c>
      <c r="B71" s="33">
        <v>99</v>
      </c>
      <c r="C71" s="34">
        <v>1</v>
      </c>
    </row>
    <row r="72" spans="1:11" ht="15" customHeight="1" x14ac:dyDescent="0.2">
      <c r="A72" s="33">
        <v>67</v>
      </c>
      <c r="B72" s="33">
        <v>102</v>
      </c>
      <c r="C72" s="34">
        <v>1</v>
      </c>
    </row>
    <row r="73" spans="1:11" ht="15" customHeight="1" x14ac:dyDescent="0.2">
      <c r="A73" s="33">
        <v>68</v>
      </c>
      <c r="B73" s="33">
        <v>148</v>
      </c>
      <c r="C73" s="34">
        <v>1</v>
      </c>
    </row>
    <row r="74" spans="1:11" ht="18" customHeight="1" x14ac:dyDescent="0.2">
      <c r="A74" s="11" t="s">
        <v>4</v>
      </c>
      <c r="B74" s="12"/>
      <c r="C74" s="13">
        <f>SUM(C6:C73)</f>
        <v>4661</v>
      </c>
    </row>
    <row r="75" spans="1:11" ht="15" customHeight="1" x14ac:dyDescent="0.2"/>
    <row r="76" spans="1:11" ht="21.75" customHeight="1" x14ac:dyDescent="0.2">
      <c r="A76" s="37" t="s">
        <v>58</v>
      </c>
      <c r="B76" s="38"/>
      <c r="C76" s="24"/>
      <c r="D76" s="20"/>
      <c r="E76" s="20"/>
      <c r="F76" s="20"/>
      <c r="G76" s="20"/>
      <c r="H76" s="20"/>
      <c r="I76" s="20"/>
      <c r="J76" s="20"/>
      <c r="K76" s="20"/>
    </row>
    <row r="77" spans="1:11" ht="15" customHeight="1" x14ac:dyDescent="0.2">
      <c r="A77" s="39" t="s">
        <v>59</v>
      </c>
      <c r="B77" s="40">
        <v>1.0115618027827986</v>
      </c>
      <c r="C77" s="44"/>
      <c r="D77" s="42"/>
      <c r="E77" s="42"/>
      <c r="F77" s="42"/>
      <c r="G77" s="42"/>
      <c r="H77" s="42"/>
      <c r="I77" s="42"/>
      <c r="J77" s="42"/>
      <c r="K77" s="42"/>
    </row>
    <row r="78" spans="1:11" ht="18" customHeight="1" x14ac:dyDescent="0.2">
      <c r="A78" s="39" t="s">
        <v>60</v>
      </c>
      <c r="B78" s="40">
        <v>0.22501141481934295</v>
      </c>
      <c r="C78" s="45"/>
      <c r="D78" s="46" t="s">
        <v>62</v>
      </c>
      <c r="E78" s="46"/>
      <c r="F78" s="46" t="s">
        <v>63</v>
      </c>
      <c r="G78" s="43"/>
      <c r="H78" s="43"/>
      <c r="I78" s="43"/>
      <c r="J78" s="43"/>
      <c r="K78" s="43"/>
    </row>
    <row r="79" spans="1:11" ht="18" customHeight="1" x14ac:dyDescent="0.2">
      <c r="A79" s="39" t="s">
        <v>61</v>
      </c>
      <c r="B79" s="41">
        <f xml:space="preserve"> SUMPRODUCT(B6:B73, C6:C73) / C74</f>
        <v>4.5769148251448186</v>
      </c>
      <c r="C79" s="45"/>
      <c r="D79" s="46">
        <f>EXP(-B79)</f>
        <v>1.0286583299438807E-2</v>
      </c>
      <c r="E79" s="46"/>
      <c r="F79" s="46">
        <f>(B78/(B78+1))^B77</f>
        <v>0.18011740145110194</v>
      </c>
      <c r="G79" s="43"/>
      <c r="H79" s="43"/>
      <c r="I79" s="43"/>
      <c r="J79" s="43"/>
      <c r="K79" s="43"/>
    </row>
    <row r="80" spans="1:11" ht="15" customHeight="1" x14ac:dyDescent="0.2"/>
    <row r="81" spans="1:11" ht="21.75" customHeight="1" x14ac:dyDescent="0.2">
      <c r="A81" s="25" t="s">
        <v>79</v>
      </c>
      <c r="B81" s="26"/>
      <c r="C81" s="26"/>
      <c r="D81" s="26"/>
      <c r="E81" s="26"/>
      <c r="F81" s="26"/>
      <c r="G81" s="26"/>
      <c r="H81" s="26"/>
      <c r="I81" s="27"/>
      <c r="J81" s="24"/>
      <c r="K81" s="20"/>
    </row>
    <row r="82" spans="1:11" ht="31.5" customHeight="1" x14ac:dyDescent="0.2">
      <c r="A82" s="58" t="s">
        <v>5</v>
      </c>
      <c r="B82" s="59" t="s">
        <v>73</v>
      </c>
      <c r="C82" s="58" t="s">
        <v>74</v>
      </c>
      <c r="D82" s="58" t="s">
        <v>75</v>
      </c>
      <c r="E82" s="58" t="s">
        <v>76</v>
      </c>
      <c r="F82" s="58" t="s">
        <v>77</v>
      </c>
      <c r="G82" s="59" t="s">
        <v>70</v>
      </c>
      <c r="H82" s="59" t="s">
        <v>71</v>
      </c>
      <c r="I82" s="58" t="s">
        <v>78</v>
      </c>
    </row>
    <row r="83" spans="1:11" ht="15" customHeight="1" x14ac:dyDescent="0.2">
      <c r="A83" s="33">
        <v>1</v>
      </c>
      <c r="B83" s="34">
        <v>2021</v>
      </c>
      <c r="C83" s="34">
        <f>($B$79/1)*D79</f>
        <v>4.7080815603288577E-2</v>
      </c>
      <c r="D83" s="35">
        <f>C83*$C$74</f>
        <v>219.44368152692806</v>
      </c>
      <c r="E83" s="34">
        <f>(($B$77)/(1*($B$78+1)))*F79</f>
        <v>0.14873321270340936</v>
      </c>
      <c r="F83" s="35">
        <f>E83*$C$74</f>
        <v>693.24550441059102</v>
      </c>
      <c r="G83" s="34">
        <f t="shared" ref="G83:G114" si="0">IF(C83&gt;0, B83*LN(C83), 0)</f>
        <v>-6175.9530290641487</v>
      </c>
      <c r="H83" s="34">
        <f t="shared" ref="H83:H114" si="1">IF(E83&gt;0, B83*LN(E83), 0)</f>
        <v>-3851.2198164316887</v>
      </c>
      <c r="I83" s="34">
        <f>B83/C74</f>
        <v>0.43359794035614674</v>
      </c>
    </row>
    <row r="84" spans="1:11" ht="15" customHeight="1" x14ac:dyDescent="0.2">
      <c r="A84" s="33">
        <v>2</v>
      </c>
      <c r="B84" s="34">
        <v>780</v>
      </c>
      <c r="C84" s="34">
        <f>($B$79/A84)*C83</f>
        <v>0.1077424414573005</v>
      </c>
      <c r="D84" s="35">
        <f t="shared" ref="D84:D147" si="2">C84*$C$74</f>
        <v>502.18751963247763</v>
      </c>
      <c r="E84" s="34">
        <f>(($B$77+A84-1)/(A84*($B$78+1)))*E83</f>
        <v>0.12211561698936076</v>
      </c>
      <c r="F84" s="35">
        <f t="shared" ref="F84:F147" si="3">E84*$C$74</f>
        <v>569.18089078741048</v>
      </c>
      <c r="G84" s="34">
        <f t="shared" si="0"/>
        <v>-1737.8491270506527</v>
      </c>
      <c r="H84" s="34">
        <f t="shared" si="1"/>
        <v>-1640.1738621634363</v>
      </c>
      <c r="I84" s="34">
        <f>B84/C74</f>
        <v>0.167346063076593</v>
      </c>
    </row>
    <row r="85" spans="1:11" ht="15" customHeight="1" x14ac:dyDescent="0.2">
      <c r="A85" s="33">
        <v>3</v>
      </c>
      <c r="B85" s="34">
        <v>432</v>
      </c>
      <c r="C85" s="34">
        <f t="shared" ref="C85:C148" si="4">($B$79/A85)*C84</f>
        <v>0.16437599253440546</v>
      </c>
      <c r="D85" s="35">
        <f t="shared" si="2"/>
        <v>766.15650120286386</v>
      </c>
      <c r="E85" s="34">
        <f t="shared" ref="E85:E148" si="5">(($B$77+A85-1)/(A85*($B$78+1)))*E84</f>
        <v>0.10006946961188053</v>
      </c>
      <c r="F85" s="35">
        <f t="shared" si="3"/>
        <v>466.42379786097513</v>
      </c>
      <c r="G85" s="34">
        <f t="shared" si="0"/>
        <v>-780.0186979452443</v>
      </c>
      <c r="H85" s="34">
        <f t="shared" si="1"/>
        <v>-994.41675564403386</v>
      </c>
      <c r="I85" s="34">
        <f>B85/C74</f>
        <v>9.2683973396266897E-2</v>
      </c>
    </row>
    <row r="86" spans="1:11" ht="15" customHeight="1" x14ac:dyDescent="0.2">
      <c r="A86" s="33">
        <v>4</v>
      </c>
      <c r="B86" s="34">
        <v>291</v>
      </c>
      <c r="C86" s="34">
        <f t="shared" si="4"/>
        <v>0.18808372928215361</v>
      </c>
      <c r="D86" s="35">
        <f t="shared" si="2"/>
        <v>876.65826218411803</v>
      </c>
      <c r="E86" s="34">
        <f t="shared" si="5"/>
        <v>8.192471863189843E-2</v>
      </c>
      <c r="F86" s="35">
        <f t="shared" si="3"/>
        <v>381.85111354327859</v>
      </c>
      <c r="G86" s="34">
        <f t="shared" si="0"/>
        <v>-486.22260161217025</v>
      </c>
      <c r="H86" s="34">
        <f t="shared" si="1"/>
        <v>-728.06876498905808</v>
      </c>
      <c r="I86" s="34">
        <f>B86/C74</f>
        <v>6.2432954301652008E-2</v>
      </c>
    </row>
    <row r="87" spans="1:11" ht="15" customHeight="1" x14ac:dyDescent="0.2">
      <c r="A87" s="33">
        <v>5</v>
      </c>
      <c r="B87" s="34">
        <v>199</v>
      </c>
      <c r="C87" s="34">
        <f t="shared" si="4"/>
        <v>0.17216864178400271</v>
      </c>
      <c r="D87" s="35">
        <f t="shared" si="2"/>
        <v>802.47803935523666</v>
      </c>
      <c r="E87" s="34">
        <f t="shared" si="5"/>
        <v>6.7031341199363256E-2</v>
      </c>
      <c r="F87" s="35">
        <f t="shared" si="3"/>
        <v>312.43308133023214</v>
      </c>
      <c r="G87" s="34">
        <f t="shared" si="0"/>
        <v>-350.09688059945375</v>
      </c>
      <c r="H87" s="34">
        <f t="shared" si="1"/>
        <v>-537.81640298427544</v>
      </c>
      <c r="I87" s="34">
        <f>B87/C74</f>
        <v>4.2694700708002575E-2</v>
      </c>
    </row>
    <row r="88" spans="1:11" ht="15" customHeight="1" x14ac:dyDescent="0.2">
      <c r="A88" s="33">
        <v>6</v>
      </c>
      <c r="B88" s="34">
        <v>143</v>
      </c>
      <c r="C88" s="34">
        <f t="shared" si="4"/>
        <v>0.13133353483437493</v>
      </c>
      <c r="D88" s="35">
        <f t="shared" si="2"/>
        <v>612.14560586302161</v>
      </c>
      <c r="E88" s="34">
        <f t="shared" si="5"/>
        <v>5.4824393942867804E-2</v>
      </c>
      <c r="F88" s="35">
        <f t="shared" si="3"/>
        <v>255.53650016770683</v>
      </c>
      <c r="G88" s="34">
        <f t="shared" si="0"/>
        <v>-290.29216274366877</v>
      </c>
      <c r="H88" s="34">
        <f t="shared" si="1"/>
        <v>-415.21766559601065</v>
      </c>
      <c r="I88" s="34">
        <f>B88/C74</f>
        <v>3.0680111564042052E-2</v>
      </c>
    </row>
    <row r="89" spans="1:11" ht="15" customHeight="1" x14ac:dyDescent="0.2">
      <c r="A89" s="33">
        <v>7</v>
      </c>
      <c r="B89" s="34">
        <v>119</v>
      </c>
      <c r="C89" s="34">
        <f t="shared" si="4"/>
        <v>8.5871771803160579E-2</v>
      </c>
      <c r="D89" s="35">
        <f t="shared" si="2"/>
        <v>400.24832837453147</v>
      </c>
      <c r="E89" s="34">
        <f t="shared" si="5"/>
        <v>4.482811014543172E-2</v>
      </c>
      <c r="F89" s="35">
        <f t="shared" si="3"/>
        <v>208.94382138785724</v>
      </c>
      <c r="G89" s="34">
        <f t="shared" si="0"/>
        <v>-292.13311439400513</v>
      </c>
      <c r="H89" s="34">
        <f t="shared" si="1"/>
        <v>-369.48546544959089</v>
      </c>
      <c r="I89" s="34">
        <f>B89/C74</f>
        <v>2.5531001930916113E-2</v>
      </c>
    </row>
    <row r="90" spans="1:11" ht="15" customHeight="1" x14ac:dyDescent="0.2">
      <c r="A90" s="33">
        <v>8</v>
      </c>
      <c r="B90" s="34">
        <v>74</v>
      </c>
      <c r="C90" s="34">
        <f t="shared" si="4"/>
        <v>4.9128473178417308E-2</v>
      </c>
      <c r="D90" s="35">
        <f t="shared" si="2"/>
        <v>228.98781348460307</v>
      </c>
      <c r="E90" s="34">
        <f t="shared" si="5"/>
        <v>3.6646921264101545E-2</v>
      </c>
      <c r="F90" s="35">
        <f t="shared" si="3"/>
        <v>170.81130001197729</v>
      </c>
      <c r="G90" s="34">
        <f t="shared" si="0"/>
        <v>-222.98542177396419</v>
      </c>
      <c r="H90" s="34">
        <f t="shared" si="1"/>
        <v>-244.67551348356344</v>
      </c>
      <c r="I90" s="34">
        <f>B90/C74</f>
        <v>1.5876421368804978E-2</v>
      </c>
    </row>
    <row r="91" spans="1:11" ht="15" customHeight="1" x14ac:dyDescent="0.2">
      <c r="A91" s="33">
        <v>9</v>
      </c>
      <c r="B91" s="34">
        <v>76</v>
      </c>
      <c r="C91" s="34">
        <f t="shared" si="4"/>
        <v>2.498409302522531E-2</v>
      </c>
      <c r="D91" s="35">
        <f t="shared" si="2"/>
        <v>116.45085759057517</v>
      </c>
      <c r="E91" s="34">
        <f t="shared" si="5"/>
        <v>2.9954006220139662E-2</v>
      </c>
      <c r="F91" s="35">
        <f t="shared" si="3"/>
        <v>139.61562299207097</v>
      </c>
      <c r="G91" s="34">
        <f t="shared" si="0"/>
        <v>-280.40321110683942</v>
      </c>
      <c r="H91" s="34">
        <f t="shared" si="1"/>
        <v>-266.61500718142253</v>
      </c>
      <c r="I91" s="34">
        <f>B91/C74</f>
        <v>1.6305513838232141E-2</v>
      </c>
    </row>
    <row r="92" spans="1:11" ht="15" customHeight="1" x14ac:dyDescent="0.2">
      <c r="A92" s="33">
        <v>10</v>
      </c>
      <c r="B92" s="34">
        <v>51</v>
      </c>
      <c r="C92" s="34">
        <f t="shared" si="4"/>
        <v>1.1435006575995098E-2</v>
      </c>
      <c r="D92" s="35">
        <f t="shared" si="2"/>
        <v>53.298565650713151</v>
      </c>
      <c r="E92" s="34">
        <f t="shared" si="5"/>
        <v>2.4480293072052229E-2</v>
      </c>
      <c r="F92" s="35">
        <f t="shared" si="3"/>
        <v>114.10264600883544</v>
      </c>
      <c r="G92" s="34">
        <f t="shared" si="0"/>
        <v>-228.02486969800481</v>
      </c>
      <c r="H92" s="34">
        <f t="shared" si="1"/>
        <v>-189.20422932511789</v>
      </c>
      <c r="I92" s="34">
        <f>B92/C74</f>
        <v>1.094185797039262E-2</v>
      </c>
    </row>
    <row r="93" spans="1:11" ht="15" customHeight="1" x14ac:dyDescent="0.2">
      <c r="A93" s="33">
        <v>11</v>
      </c>
      <c r="B93" s="34">
        <v>62</v>
      </c>
      <c r="C93" s="34">
        <f t="shared" si="4"/>
        <v>4.7579137384818598E-3</v>
      </c>
      <c r="D93" s="35">
        <f t="shared" si="2"/>
        <v>22.176635935063949</v>
      </c>
      <c r="E93" s="34">
        <f t="shared" si="5"/>
        <v>2.0004730854090016E-2</v>
      </c>
      <c r="F93" s="35">
        <f t="shared" si="3"/>
        <v>93.242050510913558</v>
      </c>
      <c r="G93" s="34">
        <f t="shared" si="0"/>
        <v>-331.572651817159</v>
      </c>
      <c r="H93" s="34">
        <f t="shared" si="1"/>
        <v>-242.53076242311852</v>
      </c>
      <c r="I93" s="34">
        <f>B93/C74</f>
        <v>1.3301866552242008E-2</v>
      </c>
    </row>
    <row r="94" spans="1:11" ht="15" customHeight="1" x14ac:dyDescent="0.2">
      <c r="A94" s="33">
        <v>12</v>
      </c>
      <c r="B94" s="34">
        <v>38</v>
      </c>
      <c r="C94" s="34">
        <f t="shared" si="4"/>
        <v>1.814713827201486E-3</v>
      </c>
      <c r="D94" s="35">
        <f t="shared" si="2"/>
        <v>8.4583811485861258</v>
      </c>
      <c r="E94" s="34">
        <f t="shared" si="5"/>
        <v>1.6345974283388912E-2</v>
      </c>
      <c r="F94" s="35">
        <f t="shared" si="3"/>
        <v>76.18858613487572</v>
      </c>
      <c r="G94" s="34">
        <f t="shared" si="0"/>
        <v>-239.84944479708247</v>
      </c>
      <c r="H94" s="34">
        <f t="shared" si="1"/>
        <v>-156.32339805991833</v>
      </c>
      <c r="I94" s="34">
        <f>B94/C74</f>
        <v>8.1527569191160703E-3</v>
      </c>
    </row>
    <row r="95" spans="1:11" ht="15" customHeight="1" x14ac:dyDescent="0.2">
      <c r="A95" s="33">
        <v>13</v>
      </c>
      <c r="B95" s="34">
        <v>32</v>
      </c>
      <c r="C95" s="34">
        <f t="shared" si="4"/>
        <v>6.3890697070105964E-4</v>
      </c>
      <c r="D95" s="35">
        <f t="shared" si="2"/>
        <v>2.9779453904376392</v>
      </c>
      <c r="E95" s="34">
        <f t="shared" si="5"/>
        <v>1.3355395464519236E-2</v>
      </c>
      <c r="F95" s="35">
        <f t="shared" si="3"/>
        <v>62.249498260124163</v>
      </c>
      <c r="G95" s="34">
        <f t="shared" si="0"/>
        <v>-235.38405439816685</v>
      </c>
      <c r="H95" s="34">
        <f t="shared" si="1"/>
        <v>-138.10671427643948</v>
      </c>
      <c r="I95" s="34">
        <f>B95/C74</f>
        <v>6.8654795108345846E-3</v>
      </c>
    </row>
    <row r="96" spans="1:11" ht="15" customHeight="1" x14ac:dyDescent="0.2">
      <c r="A96" s="33">
        <v>14</v>
      </c>
      <c r="B96" s="34">
        <v>25</v>
      </c>
      <c r="C96" s="34">
        <f t="shared" si="4"/>
        <v>2.0887305614928901E-4</v>
      </c>
      <c r="D96" s="35">
        <f t="shared" si="2"/>
        <v>0.97355731471183604</v>
      </c>
      <c r="E96" s="34">
        <f t="shared" si="5"/>
        <v>1.0911265612242311E-2</v>
      </c>
      <c r="F96" s="35">
        <f t="shared" si="3"/>
        <v>50.857409018661407</v>
      </c>
      <c r="G96" s="34">
        <f t="shared" si="0"/>
        <v>-211.84459693447715</v>
      </c>
      <c r="H96" s="34">
        <f t="shared" si="1"/>
        <v>-112.94898702691782</v>
      </c>
      <c r="I96" s="34">
        <f>B96/C74</f>
        <v>5.3636558678395192E-3</v>
      </c>
    </row>
    <row r="97" spans="1:9" ht="15" customHeight="1" x14ac:dyDescent="0.2">
      <c r="A97" s="33">
        <v>15</v>
      </c>
      <c r="B97" s="34">
        <v>32</v>
      </c>
      <c r="C97" s="34">
        <f t="shared" si="4"/>
        <v>6.3732945817532468E-5</v>
      </c>
      <c r="D97" s="35">
        <f t="shared" si="2"/>
        <v>0.29705926045551884</v>
      </c>
      <c r="E97" s="34">
        <f t="shared" si="5"/>
        <v>8.9139380582239757E-3</v>
      </c>
      <c r="F97" s="35">
        <f t="shared" si="3"/>
        <v>41.547865289381953</v>
      </c>
      <c r="G97" s="34">
        <f t="shared" si="0"/>
        <v>-309.14588564167713</v>
      </c>
      <c r="H97" s="34">
        <f t="shared" si="1"/>
        <v>-151.04445290564172</v>
      </c>
      <c r="I97" s="34">
        <f>B97/C74</f>
        <v>6.8654795108345846E-3</v>
      </c>
    </row>
    <row r="98" spans="1:9" ht="15" customHeight="1" x14ac:dyDescent="0.2">
      <c r="A98" s="33">
        <v>16</v>
      </c>
      <c r="B98" s="34">
        <v>24</v>
      </c>
      <c r="C98" s="34">
        <f t="shared" si="4"/>
        <v>1.8231266535150988E-5</v>
      </c>
      <c r="D98" s="35">
        <f t="shared" si="2"/>
        <v>8.4975933320338759E-2</v>
      </c>
      <c r="E98" s="34">
        <f t="shared" si="5"/>
        <v>7.2818744992306471E-3</v>
      </c>
      <c r="F98" s="35">
        <f t="shared" si="3"/>
        <v>33.940817040914048</v>
      </c>
      <c r="G98" s="34">
        <f t="shared" si="0"/>
        <v>-261.89693991271929</v>
      </c>
      <c r="H98" s="34">
        <f t="shared" si="1"/>
        <v>-118.13680713022458</v>
      </c>
      <c r="I98" s="34">
        <f>B98/C74</f>
        <v>5.1491096331259386E-3</v>
      </c>
    </row>
    <row r="99" spans="1:9" ht="15" customHeight="1" x14ac:dyDescent="0.2">
      <c r="A99" s="33">
        <v>17</v>
      </c>
      <c r="B99" s="34">
        <v>23</v>
      </c>
      <c r="C99" s="34">
        <f t="shared" si="4"/>
        <v>4.9084090638764214E-6</v>
      </c>
      <c r="D99" s="35">
        <f t="shared" si="2"/>
        <v>2.2878094646727999E-2</v>
      </c>
      <c r="E99" s="34">
        <f t="shared" si="5"/>
        <v>5.9483747318213719E-3</v>
      </c>
      <c r="F99" s="35">
        <f t="shared" si="3"/>
        <v>27.725374625019416</v>
      </c>
      <c r="G99" s="34">
        <f t="shared" si="0"/>
        <v>-281.1648958295346</v>
      </c>
      <c r="H99" s="34">
        <f t="shared" si="1"/>
        <v>-117.8666567742367</v>
      </c>
      <c r="I99" s="34">
        <f>B99/C74</f>
        <v>4.9345633984123581E-3</v>
      </c>
    </row>
    <row r="100" spans="1:9" ht="15" customHeight="1" x14ac:dyDescent="0.2">
      <c r="A100" s="33">
        <v>18</v>
      </c>
      <c r="B100" s="34">
        <v>21</v>
      </c>
      <c r="C100" s="34">
        <f t="shared" si="4"/>
        <v>1.2480761229072887E-6</v>
      </c>
      <c r="D100" s="35">
        <f t="shared" si="2"/>
        <v>5.8172828088708731E-3</v>
      </c>
      <c r="E100" s="34">
        <f t="shared" si="5"/>
        <v>4.8588898307491569E-3</v>
      </c>
      <c r="F100" s="35">
        <f t="shared" si="3"/>
        <v>22.647285501121821</v>
      </c>
      <c r="G100" s="34">
        <f t="shared" si="0"/>
        <v>-285.47205317311614</v>
      </c>
      <c r="H100" s="34">
        <f t="shared" si="1"/>
        <v>-111.86585123806722</v>
      </c>
      <c r="I100" s="34">
        <f>B100/C74</f>
        <v>4.5054709289851962E-3</v>
      </c>
    </row>
    <row r="101" spans="1:9" ht="15" customHeight="1" x14ac:dyDescent="0.2">
      <c r="A101" s="33">
        <v>19</v>
      </c>
      <c r="B101" s="34">
        <v>17</v>
      </c>
      <c r="C101" s="34">
        <f t="shared" si="4"/>
        <v>3.0064937420229665E-7</v>
      </c>
      <c r="D101" s="35">
        <f t="shared" si="2"/>
        <v>1.4013267331569048E-3</v>
      </c>
      <c r="E101" s="34">
        <f t="shared" si="5"/>
        <v>3.968817338211598E-3</v>
      </c>
      <c r="F101" s="35">
        <f t="shared" si="3"/>
        <v>18.498657613404259</v>
      </c>
      <c r="G101" s="34">
        <f t="shared" si="0"/>
        <v>-255.29445905607292</v>
      </c>
      <c r="H101" s="34">
        <f t="shared" si="1"/>
        <v>-93.997881182099221</v>
      </c>
      <c r="I101" s="34">
        <f>B101/C74</f>
        <v>3.6472859901308732E-3</v>
      </c>
    </row>
    <row r="102" spans="1:9" ht="15" customHeight="1" x14ac:dyDescent="0.2">
      <c r="A102" s="33">
        <v>20</v>
      </c>
      <c r="B102" s="34">
        <v>16</v>
      </c>
      <c r="C102" s="34">
        <f t="shared" si="4"/>
        <v>6.8802328897850194E-8</v>
      </c>
      <c r="D102" s="35">
        <f t="shared" si="2"/>
        <v>3.2068765499287976E-4</v>
      </c>
      <c r="E102" s="34">
        <f t="shared" si="5"/>
        <v>3.2416936073730385E-3</v>
      </c>
      <c r="F102" s="35">
        <f t="shared" si="3"/>
        <v>15.109533903965733</v>
      </c>
      <c r="G102" s="34">
        <f t="shared" si="0"/>
        <v>-263.87245187712909</v>
      </c>
      <c r="H102" s="34">
        <f t="shared" si="1"/>
        <v>-91.706549878760342</v>
      </c>
      <c r="I102" s="34">
        <f>B102/C74</f>
        <v>3.4327397554172923E-3</v>
      </c>
    </row>
    <row r="103" spans="1:9" ht="15" customHeight="1" x14ac:dyDescent="0.2">
      <c r="A103" s="33">
        <v>21</v>
      </c>
      <c r="B103" s="34">
        <v>22</v>
      </c>
      <c r="C103" s="34">
        <f t="shared" si="4"/>
        <v>1.4995352339860015E-8</v>
      </c>
      <c r="D103" s="35">
        <f t="shared" si="2"/>
        <v>6.9893337256087535E-5</v>
      </c>
      <c r="E103" s="34">
        <f t="shared" si="5"/>
        <v>2.647712765425999E-3</v>
      </c>
      <c r="F103" s="35">
        <f t="shared" si="3"/>
        <v>12.340989199650581</v>
      </c>
      <c r="G103" s="34">
        <f t="shared" si="0"/>
        <v>-396.3415616130323</v>
      </c>
      <c r="H103" s="34">
        <f t="shared" si="1"/>
        <v>-130.54930061936545</v>
      </c>
      <c r="I103" s="34">
        <f>B103/C74</f>
        <v>4.7200171636987767E-3</v>
      </c>
    </row>
    <row r="104" spans="1:9" ht="15" customHeight="1" x14ac:dyDescent="0.2">
      <c r="A104" s="33">
        <v>22</v>
      </c>
      <c r="B104" s="34">
        <v>8</v>
      </c>
      <c r="C104" s="34">
        <f t="shared" si="4"/>
        <v>3.1196568378443342E-9</v>
      </c>
      <c r="D104" s="35">
        <f t="shared" si="2"/>
        <v>1.4540720521192441E-5</v>
      </c>
      <c r="E104" s="34">
        <f t="shared" si="5"/>
        <v>2.1625139186888958E-3</v>
      </c>
      <c r="F104" s="35">
        <f t="shared" si="3"/>
        <v>10.079477375008944</v>
      </c>
      <c r="G104" s="34">
        <f t="shared" si="0"/>
        <v>-156.68434263235628</v>
      </c>
      <c r="H104" s="34">
        <f t="shared" si="1"/>
        <v>-49.091871062328195</v>
      </c>
      <c r="I104" s="34">
        <f>B104/C74</f>
        <v>1.7163698777086461E-3</v>
      </c>
    </row>
    <row r="105" spans="1:9" ht="15" customHeight="1" x14ac:dyDescent="0.2">
      <c r="A105" s="33">
        <v>23</v>
      </c>
      <c r="B105" s="34">
        <v>6</v>
      </c>
      <c r="C105" s="34">
        <f t="shared" si="4"/>
        <v>6.2080015784757126E-10</v>
      </c>
      <c r="D105" s="35">
        <f t="shared" si="2"/>
        <v>2.8935495357275294E-6</v>
      </c>
      <c r="E105" s="34">
        <f t="shared" si="5"/>
        <v>1.7661884291991165E-3</v>
      </c>
      <c r="F105" s="35">
        <f t="shared" si="3"/>
        <v>8.2322042684970818</v>
      </c>
      <c r="G105" s="34">
        <f t="shared" si="0"/>
        <v>-127.20007135676879</v>
      </c>
      <c r="H105" s="34">
        <f t="shared" si="1"/>
        <v>-38.033588905148889</v>
      </c>
      <c r="I105" s="34">
        <f>B105/C74</f>
        <v>1.2872774082814847E-3</v>
      </c>
    </row>
    <row r="106" spans="1:9" ht="15" customHeight="1" x14ac:dyDescent="0.2">
      <c r="A106" s="33">
        <v>24</v>
      </c>
      <c r="B106" s="34">
        <v>9</v>
      </c>
      <c r="C106" s="34">
        <f t="shared" si="4"/>
        <v>1.18389560246033E-10</v>
      </c>
      <c r="D106" s="35">
        <f t="shared" si="2"/>
        <v>5.5181374030675979E-7</v>
      </c>
      <c r="E106" s="34">
        <f t="shared" si="5"/>
        <v>1.4424676003709136E-3</v>
      </c>
      <c r="F106" s="35">
        <f t="shared" si="3"/>
        <v>6.7233414853288282</v>
      </c>
      <c r="G106" s="34">
        <f t="shared" si="0"/>
        <v>-205.7133651386747</v>
      </c>
      <c r="H106" s="34">
        <f t="shared" si="1"/>
        <v>-58.872600185240991</v>
      </c>
      <c r="I106" s="34">
        <f>B106/C74</f>
        <v>1.9309161124222271E-3</v>
      </c>
    </row>
    <row r="107" spans="1:9" ht="15" customHeight="1" x14ac:dyDescent="0.2">
      <c r="A107" s="33">
        <v>25</v>
      </c>
      <c r="B107" s="34">
        <v>13</v>
      </c>
      <c r="C107" s="34">
        <f t="shared" si="4"/>
        <v>2.1674357337297764E-11</v>
      </c>
      <c r="D107" s="35">
        <f t="shared" si="2"/>
        <v>1.0102417954914487E-7</v>
      </c>
      <c r="E107" s="34">
        <f t="shared" si="5"/>
        <v>1.17805816660115E-3</v>
      </c>
      <c r="F107" s="35">
        <f t="shared" si="3"/>
        <v>5.49092911452796</v>
      </c>
      <c r="G107" s="34">
        <f t="shared" si="0"/>
        <v>-319.2135861674912</v>
      </c>
      <c r="H107" s="34">
        <f t="shared" si="1"/>
        <v>-87.670541628168664</v>
      </c>
      <c r="I107" s="34">
        <f>B107/C74</f>
        <v>2.7891010512765503E-3</v>
      </c>
    </row>
    <row r="108" spans="1:9" ht="15" customHeight="1" x14ac:dyDescent="0.2">
      <c r="A108" s="33">
        <v>26</v>
      </c>
      <c r="B108" s="34">
        <v>8</v>
      </c>
      <c r="C108" s="34">
        <f t="shared" si="4"/>
        <v>3.8154495162524814E-12</v>
      </c>
      <c r="D108" s="35">
        <f t="shared" si="2"/>
        <v>1.7783810195252815E-8</v>
      </c>
      <c r="E108" s="34">
        <f t="shared" si="5"/>
        <v>9.620988154169682E-4</v>
      </c>
      <c r="F108" s="35">
        <f t="shared" si="3"/>
        <v>4.484342578658489</v>
      </c>
      <c r="G108" s="34">
        <f t="shared" si="0"/>
        <v>-210.33570103596614</v>
      </c>
      <c r="H108" s="34">
        <f t="shared" si="1"/>
        <v>-55.571147150760943</v>
      </c>
      <c r="I108" s="34">
        <f>B108/C74</f>
        <v>1.7163698777086461E-3</v>
      </c>
    </row>
    <row r="109" spans="1:9" ht="15" customHeight="1" x14ac:dyDescent="0.2">
      <c r="A109" s="33">
        <v>27</v>
      </c>
      <c r="B109" s="34">
        <v>8</v>
      </c>
      <c r="C109" s="34">
        <f t="shared" si="4"/>
        <v>6.467773131676892E-13</v>
      </c>
      <c r="D109" s="35">
        <f t="shared" si="2"/>
        <v>3.0146290566745994E-9</v>
      </c>
      <c r="E109" s="34">
        <f t="shared" si="5"/>
        <v>7.8571578096204989E-4</v>
      </c>
      <c r="F109" s="35">
        <f t="shared" si="3"/>
        <v>3.6622212550641144</v>
      </c>
      <c r="G109" s="34">
        <f t="shared" si="0"/>
        <v>-224.53419474656968</v>
      </c>
      <c r="H109" s="34">
        <f t="shared" si="1"/>
        <v>-57.191323462065817</v>
      </c>
      <c r="I109" s="34">
        <f>B109/C74</f>
        <v>1.7163698777086461E-3</v>
      </c>
    </row>
    <row r="110" spans="1:9" ht="15" customHeight="1" x14ac:dyDescent="0.2">
      <c r="A110" s="33">
        <v>28</v>
      </c>
      <c r="B110" s="34">
        <v>10</v>
      </c>
      <c r="C110" s="34">
        <f t="shared" si="4"/>
        <v>1.0572302404301892E-13</v>
      </c>
      <c r="D110" s="35">
        <f t="shared" si="2"/>
        <v>4.9277501506451115E-10</v>
      </c>
      <c r="E110" s="34">
        <f t="shared" si="5"/>
        <v>6.4165950652695345E-4</v>
      </c>
      <c r="F110" s="35">
        <f t="shared" si="3"/>
        <v>2.9907749599221303</v>
      </c>
      <c r="G110" s="34">
        <f t="shared" si="0"/>
        <v>-298.77953701317529</v>
      </c>
      <c r="H110" s="34">
        <f t="shared" si="1"/>
        <v>-73.514527586320511</v>
      </c>
      <c r="I110" s="34">
        <f>B110/C74</f>
        <v>2.1454623471358078E-3</v>
      </c>
    </row>
    <row r="111" spans="1:9" ht="15" customHeight="1" x14ac:dyDescent="0.2">
      <c r="A111" s="33">
        <v>29</v>
      </c>
      <c r="B111" s="34">
        <v>6</v>
      </c>
      <c r="C111" s="34">
        <f t="shared" si="4"/>
        <v>1.668569917591846E-14</v>
      </c>
      <c r="D111" s="35">
        <f t="shared" si="2"/>
        <v>7.7772043858955945E-11</v>
      </c>
      <c r="E111" s="34">
        <f t="shared" si="5"/>
        <v>5.2400762752512729E-4</v>
      </c>
      <c r="F111" s="35">
        <f t="shared" si="3"/>
        <v>2.4423995518946184</v>
      </c>
      <c r="G111" s="34">
        <f t="shared" si="0"/>
        <v>-190.34534627475068</v>
      </c>
      <c r="H111" s="34">
        <f t="shared" si="1"/>
        <v>-45.32402590442107</v>
      </c>
      <c r="I111" s="34">
        <f>B111/C74</f>
        <v>1.2872774082814847E-3</v>
      </c>
    </row>
    <row r="112" spans="1:9" ht="15" customHeight="1" x14ac:dyDescent="0.2">
      <c r="A112" s="33">
        <v>30</v>
      </c>
      <c r="B112" s="34">
        <v>5</v>
      </c>
      <c r="C112" s="34">
        <f t="shared" si="4"/>
        <v>2.5456341308722624E-15</v>
      </c>
      <c r="D112" s="35">
        <f t="shared" si="2"/>
        <v>1.1865200683995615E-11</v>
      </c>
      <c r="E112" s="34">
        <f t="shared" si="5"/>
        <v>4.2792219752279235E-4</v>
      </c>
      <c r="F112" s="35">
        <f t="shared" si="3"/>
        <v>1.9945453626537351</v>
      </c>
      <c r="G112" s="34">
        <f t="shared" si="0"/>
        <v>-168.02198304304193</v>
      </c>
      <c r="H112" s="34">
        <f t="shared" si="1"/>
        <v>-38.782845801977686</v>
      </c>
      <c r="I112" s="34">
        <f>B112/C74</f>
        <v>1.0727311735679039E-3</v>
      </c>
    </row>
    <row r="113" spans="1:9" ht="15" customHeight="1" x14ac:dyDescent="0.2">
      <c r="A113" s="33">
        <v>31</v>
      </c>
      <c r="B113" s="34">
        <v>8</v>
      </c>
      <c r="C113" s="34">
        <f t="shared" si="4"/>
        <v>3.7584356751560979E-16</v>
      </c>
      <c r="D113" s="35">
        <f t="shared" si="2"/>
        <v>1.7518068681902572E-12</v>
      </c>
      <c r="E113" s="34">
        <f t="shared" si="5"/>
        <v>3.4945127106369257E-4</v>
      </c>
      <c r="F113" s="35">
        <f t="shared" si="3"/>
        <v>1.6287923744278712</v>
      </c>
      <c r="G113" s="34">
        <f t="shared" si="0"/>
        <v>-284.13886928731716</v>
      </c>
      <c r="H113" s="34">
        <f t="shared" si="1"/>
        <v>-63.673171445771217</v>
      </c>
      <c r="I113" s="34">
        <f>B113/C74</f>
        <v>1.7163698777086461E-3</v>
      </c>
    </row>
    <row r="114" spans="1:9" ht="15" customHeight="1" x14ac:dyDescent="0.2">
      <c r="A114" s="33">
        <v>32</v>
      </c>
      <c r="B114" s="34">
        <v>5</v>
      </c>
      <c r="C114" s="34">
        <f t="shared" si="4"/>
        <v>5.3756374878047253E-17</v>
      </c>
      <c r="D114" s="35">
        <f t="shared" si="2"/>
        <v>2.5055846330657826E-13</v>
      </c>
      <c r="E114" s="34">
        <f t="shared" si="5"/>
        <v>2.8536675315302346E-4</v>
      </c>
      <c r="F114" s="35">
        <f t="shared" si="3"/>
        <v>1.3300944364462424</v>
      </c>
      <c r="G114" s="34">
        <f t="shared" si="0"/>
        <v>-187.3103470576774</v>
      </c>
      <c r="H114" s="34">
        <f t="shared" si="1"/>
        <v>-40.808676759065023</v>
      </c>
      <c r="I114" s="34">
        <f>B114/C74</f>
        <v>1.0727311735679039E-3</v>
      </c>
    </row>
    <row r="115" spans="1:9" ht="15" customHeight="1" x14ac:dyDescent="0.2">
      <c r="A115" s="33">
        <v>33</v>
      </c>
      <c r="B115" s="34">
        <v>5</v>
      </c>
      <c r="C115" s="34">
        <f t="shared" si="4"/>
        <v>7.4557075492538477E-18</v>
      </c>
      <c r="D115" s="35">
        <f t="shared" si="2"/>
        <v>3.4751052887072185E-14</v>
      </c>
      <c r="E115" s="34">
        <f t="shared" si="5"/>
        <v>2.3303189678687447E-4</v>
      </c>
      <c r="F115" s="35">
        <f t="shared" si="3"/>
        <v>1.0861616709236219</v>
      </c>
      <c r="G115" s="34">
        <f t="shared" ref="G115:G150" si="6">IF(C115&gt;0, B115*LN(C115), 0)</f>
        <v>-197.18775910411537</v>
      </c>
      <c r="H115" s="34">
        <f t="shared" ref="H115:H150" si="7">IF(E115&gt;0, B115*LN(E115), 0)</f>
        <v>-41.821676088434899</v>
      </c>
      <c r="I115" s="34">
        <f>B115/C74</f>
        <v>1.0727311735679039E-3</v>
      </c>
    </row>
    <row r="116" spans="1:9" ht="15" customHeight="1" x14ac:dyDescent="0.2">
      <c r="A116" s="33">
        <v>34</v>
      </c>
      <c r="B116" s="34">
        <v>5</v>
      </c>
      <c r="C116" s="34">
        <f t="shared" si="4"/>
        <v>1.0036511298271788E-18</v>
      </c>
      <c r="D116" s="35">
        <f t="shared" si="2"/>
        <v>4.6780179161244808E-15</v>
      </c>
      <c r="E116" s="34">
        <f t="shared" si="5"/>
        <v>1.9029303496099711E-4</v>
      </c>
      <c r="F116" s="35">
        <f t="shared" si="3"/>
        <v>0.88695583595320759</v>
      </c>
      <c r="G116" s="34">
        <f t="shared" si="6"/>
        <v>-207.21443596630172</v>
      </c>
      <c r="H116" s="34">
        <f t="shared" si="7"/>
        <v>-42.834726923210155</v>
      </c>
      <c r="I116" s="34">
        <f>B116/C74</f>
        <v>1.0727311735679039E-3</v>
      </c>
    </row>
    <row r="117" spans="1:9" ht="15" customHeight="1" x14ac:dyDescent="0.2">
      <c r="A117" s="33">
        <v>35</v>
      </c>
      <c r="B117" s="34">
        <v>3</v>
      </c>
      <c r="C117" s="34">
        <f t="shared" si="4"/>
        <v>1.3124644958226747E-19</v>
      </c>
      <c r="D117" s="35">
        <f t="shared" si="2"/>
        <v>6.1173970150294865E-16</v>
      </c>
      <c r="E117" s="34">
        <f t="shared" si="5"/>
        <v>1.5539112005880711E-4</v>
      </c>
      <c r="F117" s="35">
        <f t="shared" si="3"/>
        <v>0.72427801059409991</v>
      </c>
      <c r="G117" s="34">
        <f t="shared" si="6"/>
        <v>-130.43163030771262</v>
      </c>
      <c r="H117" s="34">
        <f t="shared" si="7"/>
        <v>-26.30869579242642</v>
      </c>
      <c r="I117" s="34">
        <f>B117/C74</f>
        <v>6.4363870414074233E-4</v>
      </c>
    </row>
    <row r="118" spans="1:9" ht="15" customHeight="1" x14ac:dyDescent="0.2">
      <c r="A118" s="33">
        <v>36</v>
      </c>
      <c r="B118" s="34">
        <v>4</v>
      </c>
      <c r="C118" s="34">
        <f t="shared" si="4"/>
        <v>1.6686217245575057E-20</v>
      </c>
      <c r="D118" s="35">
        <f t="shared" si="2"/>
        <v>7.7774458581625334E-17</v>
      </c>
      <c r="E118" s="34">
        <f t="shared" si="5"/>
        <v>1.2688945080443776E-4</v>
      </c>
      <c r="F118" s="35">
        <f t="shared" si="3"/>
        <v>0.59143173019948436</v>
      </c>
      <c r="G118" s="34">
        <f t="shared" si="6"/>
        <v>-182.15881555539241</v>
      </c>
      <c r="H118" s="34">
        <f t="shared" si="7"/>
        <v>-35.888777266752363</v>
      </c>
      <c r="I118" s="34">
        <f>B118/C74</f>
        <v>8.5818493885432307E-4</v>
      </c>
    </row>
    <row r="119" spans="1:9" ht="15" customHeight="1" x14ac:dyDescent="0.2">
      <c r="A119" s="33">
        <v>37</v>
      </c>
      <c r="B119" s="34">
        <v>5</v>
      </c>
      <c r="C119" s="34">
        <f t="shared" si="4"/>
        <v>2.0640917591043139E-21</v>
      </c>
      <c r="D119" s="35">
        <f t="shared" si="2"/>
        <v>9.620731689185207E-18</v>
      </c>
      <c r="E119" s="34">
        <f t="shared" si="5"/>
        <v>1.0361462744856552E-4</v>
      </c>
      <c r="F119" s="35">
        <f t="shared" si="3"/>
        <v>0.48294777853776388</v>
      </c>
      <c r="G119" s="34">
        <f t="shared" si="6"/>
        <v>-238.14798324656721</v>
      </c>
      <c r="H119" s="34">
        <f t="shared" si="7"/>
        <v>-45.874160232585069</v>
      </c>
      <c r="I119" s="34">
        <f>B119/C74</f>
        <v>1.0727311735679039E-3</v>
      </c>
    </row>
    <row r="120" spans="1:9" ht="15" customHeight="1" x14ac:dyDescent="0.2">
      <c r="A120" s="33">
        <v>38</v>
      </c>
      <c r="B120" s="34">
        <v>3</v>
      </c>
      <c r="C120" s="34">
        <f t="shared" si="4"/>
        <v>2.4860979401852058E-22</v>
      </c>
      <c r="D120" s="35">
        <f t="shared" si="2"/>
        <v>1.1587702499203245E-18</v>
      </c>
      <c r="E120" s="34">
        <f t="shared" si="5"/>
        <v>8.4608316110956327E-5</v>
      </c>
      <c r="F120" s="35">
        <f t="shared" si="3"/>
        <v>0.39435936139316746</v>
      </c>
      <c r="G120" s="34">
        <f t="shared" si="6"/>
        <v>-149.23847297058282</v>
      </c>
      <c r="H120" s="34">
        <f t="shared" si="7"/>
        <v>-28.132433990997793</v>
      </c>
      <c r="I120" s="34">
        <f>B120/C74</f>
        <v>6.4363870414074233E-4</v>
      </c>
    </row>
    <row r="121" spans="1:9" ht="15" customHeight="1" x14ac:dyDescent="0.2">
      <c r="A121" s="33">
        <v>39</v>
      </c>
      <c r="B121" s="34">
        <v>2</v>
      </c>
      <c r="C121" s="34">
        <f t="shared" si="4"/>
        <v>2.9176047485117086E-23</v>
      </c>
      <c r="D121" s="35">
        <f t="shared" si="2"/>
        <v>1.3598955732813075E-19</v>
      </c>
      <c r="E121" s="34">
        <f t="shared" si="5"/>
        <v>6.9087845036241364E-5</v>
      </c>
      <c r="F121" s="35">
        <f t="shared" si="3"/>
        <v>0.32201844571392102</v>
      </c>
      <c r="G121" s="34">
        <f t="shared" si="6"/>
        <v>-103.77738830162339</v>
      </c>
      <c r="H121" s="34">
        <f t="shared" si="7"/>
        <v>-19.160263493250682</v>
      </c>
      <c r="I121" s="34">
        <f>B121/C74</f>
        <v>4.2909246942716153E-4</v>
      </c>
    </row>
    <row r="122" spans="1:9" ht="15" customHeight="1" x14ac:dyDescent="0.2">
      <c r="A122" s="33">
        <v>41</v>
      </c>
      <c r="B122" s="34">
        <v>4</v>
      </c>
      <c r="C122" s="34">
        <f t="shared" si="4"/>
        <v>3.256982543262478E-24</v>
      </c>
      <c r="D122" s="35">
        <f t="shared" si="2"/>
        <v>1.5180795634146409E-20</v>
      </c>
      <c r="E122" s="34">
        <f t="shared" si="5"/>
        <v>5.6413619204036925E-5</v>
      </c>
      <c r="F122" s="35">
        <f t="shared" si="3"/>
        <v>0.2629438791100161</v>
      </c>
      <c r="G122" s="34">
        <f t="shared" si="6"/>
        <v>-216.32496426134847</v>
      </c>
      <c r="H122" s="34">
        <f t="shared" si="7"/>
        <v>-39.131199813447338</v>
      </c>
      <c r="I122" s="34">
        <f>B122/C74</f>
        <v>8.5818493885432307E-4</v>
      </c>
    </row>
    <row r="123" spans="1:9" ht="15" customHeight="1" x14ac:dyDescent="0.2">
      <c r="A123" s="33">
        <v>42</v>
      </c>
      <c r="B123" s="34">
        <v>2</v>
      </c>
      <c r="C123" s="34">
        <f t="shared" si="4"/>
        <v>3.5492694494037885E-25</v>
      </c>
      <c r="D123" s="35">
        <f t="shared" si="2"/>
        <v>1.6543144903671058E-21</v>
      </c>
      <c r="E123" s="34">
        <f t="shared" si="5"/>
        <v>4.6064182031249311E-5</v>
      </c>
      <c r="F123" s="35">
        <f t="shared" si="3"/>
        <v>0.21470515244765304</v>
      </c>
      <c r="G123" s="34">
        <f t="shared" si="6"/>
        <v>-112.5957710628832</v>
      </c>
      <c r="H123" s="34">
        <f t="shared" si="7"/>
        <v>-19.970949744798425</v>
      </c>
      <c r="I123" s="34">
        <f>B123/C74</f>
        <v>4.2909246942716153E-4</v>
      </c>
    </row>
    <row r="124" spans="1:9" ht="15" customHeight="1" x14ac:dyDescent="0.2">
      <c r="A124" s="33">
        <v>43</v>
      </c>
      <c r="B124" s="34">
        <v>2</v>
      </c>
      <c r="C124" s="34">
        <f t="shared" si="4"/>
        <v>3.7778381305604159E-26</v>
      </c>
      <c r="D124" s="35">
        <f t="shared" si="2"/>
        <v>1.76085035265421E-22</v>
      </c>
      <c r="E124" s="34">
        <f t="shared" si="5"/>
        <v>3.7613174188617381E-5</v>
      </c>
      <c r="F124" s="35">
        <f t="shared" si="3"/>
        <v>0.17531500489314561</v>
      </c>
      <c r="G124" s="34">
        <f t="shared" si="6"/>
        <v>-117.07612098991255</v>
      </c>
      <c r="H124" s="34">
        <f t="shared" si="7"/>
        <v>-20.376312383158783</v>
      </c>
      <c r="I124" s="34">
        <f>B124/C74</f>
        <v>4.2909246942716153E-4</v>
      </c>
    </row>
    <row r="125" spans="1:9" ht="15" customHeight="1" x14ac:dyDescent="0.2">
      <c r="A125" s="33">
        <v>44</v>
      </c>
      <c r="B125" s="34">
        <v>2</v>
      </c>
      <c r="C125" s="34">
        <f t="shared" si="4"/>
        <v>3.9297371242634898E-27</v>
      </c>
      <c r="D125" s="35">
        <f t="shared" si="2"/>
        <v>1.8316504736192125E-23</v>
      </c>
      <c r="E125" s="34">
        <f t="shared" si="5"/>
        <v>3.0712414007945073E-5</v>
      </c>
      <c r="F125" s="35">
        <f t="shared" si="3"/>
        <v>0.14315056169103199</v>
      </c>
      <c r="G125" s="34">
        <f t="shared" si="6"/>
        <v>-121.6024499533913</v>
      </c>
      <c r="H125" s="34">
        <f t="shared" si="7"/>
        <v>-20.781687240050008</v>
      </c>
      <c r="I125" s="34">
        <f>B125/C74</f>
        <v>4.2909246942716153E-4</v>
      </c>
    </row>
    <row r="126" spans="1:9" ht="15" customHeight="1" x14ac:dyDescent="0.2">
      <c r="A126" s="33">
        <v>45</v>
      </c>
      <c r="B126" s="34">
        <v>2</v>
      </c>
      <c r="C126" s="34">
        <f t="shared" si="4"/>
        <v>3.9969049117696739E-28</v>
      </c>
      <c r="D126" s="35">
        <f t="shared" si="2"/>
        <v>1.862957379375845E-24</v>
      </c>
      <c r="E126" s="34">
        <f t="shared" si="5"/>
        <v>2.5077566253356854E-5</v>
      </c>
      <c r="F126" s="35">
        <f t="shared" si="3"/>
        <v>0.1168865363068963</v>
      </c>
      <c r="G126" s="34">
        <f t="shared" si="6"/>
        <v>-126.17372462857416</v>
      </c>
      <c r="H126" s="34">
        <f t="shared" si="7"/>
        <v>-21.187073772496028</v>
      </c>
      <c r="I126" s="34">
        <f>B126/C74</f>
        <v>4.2909246942716153E-4</v>
      </c>
    </row>
    <row r="127" spans="1:9" ht="15" customHeight="1" x14ac:dyDescent="0.2">
      <c r="A127" s="33">
        <v>46</v>
      </c>
      <c r="B127" s="34">
        <v>5</v>
      </c>
      <c r="C127" s="34">
        <f t="shared" si="4"/>
        <v>3.976846379428862E-29</v>
      </c>
      <c r="D127" s="35">
        <f t="shared" si="2"/>
        <v>1.8536080974517925E-25</v>
      </c>
      <c r="E127" s="34">
        <f t="shared" si="5"/>
        <v>2.0476437226751547E-5</v>
      </c>
      <c r="F127" s="35">
        <f t="shared" si="3"/>
        <v>9.5440673913888968E-2</v>
      </c>
      <c r="G127" s="34">
        <f t="shared" si="6"/>
        <v>-326.9723927929864</v>
      </c>
      <c r="H127" s="34">
        <f t="shared" si="7"/>
        <v>-53.981178682319502</v>
      </c>
      <c r="I127" s="34">
        <f>B127/C74</f>
        <v>1.0727311735679039E-3</v>
      </c>
    </row>
    <row r="128" spans="1:9" ht="15" customHeight="1" x14ac:dyDescent="0.2">
      <c r="A128" s="33">
        <v>47</v>
      </c>
      <c r="B128" s="34">
        <v>2</v>
      </c>
      <c r="C128" s="34">
        <f t="shared" si="4"/>
        <v>3.8726993939003095E-30</v>
      </c>
      <c r="D128" s="35">
        <f t="shared" si="2"/>
        <v>1.8050651874969342E-26</v>
      </c>
      <c r="E128" s="34">
        <f t="shared" si="5"/>
        <v>1.6719415098191894E-5</v>
      </c>
      <c r="F128" s="35">
        <f t="shared" si="3"/>
        <v>7.792919377267242E-2</v>
      </c>
      <c r="G128" s="34">
        <f t="shared" si="6"/>
        <v>-135.44720201625694</v>
      </c>
      <c r="H128" s="34">
        <f t="shared" si="7"/>
        <v>-21.997879866170329</v>
      </c>
      <c r="I128" s="34">
        <f>B128/C74</f>
        <v>4.2909246942716153E-4</v>
      </c>
    </row>
    <row r="129" spans="1:9" ht="15" customHeight="1" x14ac:dyDescent="0.2">
      <c r="A129" s="33">
        <v>48</v>
      </c>
      <c r="B129" s="34">
        <v>3</v>
      </c>
      <c r="C129" s="34">
        <f t="shared" si="4"/>
        <v>3.6927115144315999E-31</v>
      </c>
      <c r="D129" s="35">
        <f t="shared" si="2"/>
        <v>1.7211728368765687E-27</v>
      </c>
      <c r="E129" s="34">
        <f t="shared" si="5"/>
        <v>1.3651662438651658E-5</v>
      </c>
      <c r="F129" s="35">
        <f t="shared" si="3"/>
        <v>6.3630398626555382E-2</v>
      </c>
      <c r="G129" s="34">
        <f t="shared" si="6"/>
        <v>-210.2213306005724</v>
      </c>
      <c r="H129" s="34">
        <f t="shared" si="7"/>
        <v>-33.604947760115223</v>
      </c>
      <c r="I129" s="34">
        <f>B129/C74</f>
        <v>6.4363870414074233E-4</v>
      </c>
    </row>
    <row r="130" spans="1:9" ht="15" customHeight="1" x14ac:dyDescent="0.2">
      <c r="A130" s="33">
        <v>49</v>
      </c>
      <c r="B130" s="34">
        <v>1</v>
      </c>
      <c r="C130" s="34">
        <f t="shared" si="4"/>
        <v>3.4492298113030543E-32</v>
      </c>
      <c r="D130" s="35">
        <f t="shared" si="2"/>
        <v>1.6076860150483537E-28</v>
      </c>
      <c r="E130" s="34">
        <f t="shared" si="5"/>
        <v>1.1146739902700774E-5</v>
      </c>
      <c r="F130" s="35">
        <f t="shared" si="3"/>
        <v>5.1954954686488308E-2</v>
      </c>
      <c r="G130" s="34">
        <f t="shared" si="6"/>
        <v>-72.444572012789209</v>
      </c>
      <c r="H130" s="34">
        <f t="shared" si="7"/>
        <v>-11.404363488219095</v>
      </c>
      <c r="I130" s="34">
        <f>B130/C74</f>
        <v>2.1454623471358077E-4</v>
      </c>
    </row>
    <row r="131" spans="1:9" ht="15" customHeight="1" x14ac:dyDescent="0.2">
      <c r="A131" s="33">
        <v>52</v>
      </c>
      <c r="B131" s="34">
        <v>3</v>
      </c>
      <c r="C131" s="34">
        <f t="shared" si="4"/>
        <v>3.0359290497470029E-33</v>
      </c>
      <c r="D131" s="35">
        <f t="shared" si="2"/>
        <v>1.4150465300870781E-29</v>
      </c>
      <c r="E131" s="34">
        <f t="shared" si="5"/>
        <v>9.1013178818539638E-6</v>
      </c>
      <c r="F131" s="35">
        <f t="shared" si="3"/>
        <v>4.2421242647321326E-2</v>
      </c>
      <c r="G131" s="34">
        <f t="shared" si="6"/>
        <v>-224.62437173757525</v>
      </c>
      <c r="H131" s="34">
        <f t="shared" si="7"/>
        <v>-34.821273998236308</v>
      </c>
      <c r="I131" s="34">
        <f>B131/C74</f>
        <v>6.4363870414074233E-4</v>
      </c>
    </row>
    <row r="132" spans="1:9" ht="15" customHeight="1" x14ac:dyDescent="0.2">
      <c r="A132" s="33">
        <v>54</v>
      </c>
      <c r="B132" s="34">
        <v>1</v>
      </c>
      <c r="C132" s="34">
        <f t="shared" si="4"/>
        <v>2.5731830881249776E-34</v>
      </c>
      <c r="D132" s="35">
        <f t="shared" si="2"/>
        <v>1.1993606373750521E-30</v>
      </c>
      <c r="E132" s="34">
        <f t="shared" si="5"/>
        <v>7.4311687481223613E-6</v>
      </c>
      <c r="F132" s="35">
        <f t="shared" si="3"/>
        <v>3.4636677534998328E-2</v>
      </c>
      <c r="G132" s="34">
        <f t="shared" si="6"/>
        <v>-77.342749473577129</v>
      </c>
      <c r="H132" s="34">
        <f t="shared" si="7"/>
        <v>-11.809827410377373</v>
      </c>
      <c r="I132" s="34">
        <f>B132/C74</f>
        <v>2.1454623471358077E-4</v>
      </c>
    </row>
    <row r="133" spans="1:9" ht="15" customHeight="1" x14ac:dyDescent="0.2">
      <c r="A133" s="33">
        <v>55</v>
      </c>
      <c r="B133" s="34">
        <v>2</v>
      </c>
      <c r="C133" s="34">
        <f t="shared" si="4"/>
        <v>2.1413163316092973E-35</v>
      </c>
      <c r="D133" s="35">
        <f t="shared" si="2"/>
        <v>9.9806754216309344E-32</v>
      </c>
      <c r="E133" s="34">
        <f t="shared" si="5"/>
        <v>6.0674788808846052E-6</v>
      </c>
      <c r="F133" s="35">
        <f t="shared" si="3"/>
        <v>2.8280519063803144E-2</v>
      </c>
      <c r="G133" s="34">
        <f t="shared" si="6"/>
        <v>-159.65811501326144</v>
      </c>
      <c r="H133" s="34">
        <f t="shared" si="7"/>
        <v>-24.025134760092925</v>
      </c>
      <c r="I133" s="34">
        <f>B133/C74</f>
        <v>4.2909246942716153E-4</v>
      </c>
    </row>
    <row r="134" spans="1:9" ht="15" customHeight="1" x14ac:dyDescent="0.2">
      <c r="A134" s="33">
        <v>56</v>
      </c>
      <c r="B134" s="34">
        <v>3</v>
      </c>
      <c r="C134" s="34">
        <f t="shared" si="4"/>
        <v>1.7501111541905913E-36</v>
      </c>
      <c r="D134" s="35">
        <f t="shared" si="2"/>
        <v>8.1572680896823465E-33</v>
      </c>
      <c r="E134" s="34">
        <f t="shared" si="5"/>
        <v>4.9540204309890085E-6</v>
      </c>
      <c r="F134" s="35">
        <f t="shared" si="3"/>
        <v>2.3090689228839768E-2</v>
      </c>
      <c r="G134" s="34">
        <f t="shared" si="6"/>
        <v>-247.00015213556097</v>
      </c>
      <c r="H134" s="34">
        <f t="shared" si="7"/>
        <v>-36.64593330829716</v>
      </c>
      <c r="I134" s="34">
        <f>B134/C74</f>
        <v>6.4363870414074233E-4</v>
      </c>
    </row>
    <row r="135" spans="1:9" ht="15" customHeight="1" x14ac:dyDescent="0.2">
      <c r="A135" s="33">
        <v>60</v>
      </c>
      <c r="B135" s="34">
        <v>1</v>
      </c>
      <c r="C135" s="34">
        <f t="shared" si="4"/>
        <v>1.3350182812110376E-37</v>
      </c>
      <c r="D135" s="35">
        <f t="shared" si="2"/>
        <v>6.2225202087246464E-34</v>
      </c>
      <c r="E135" s="34">
        <f t="shared" si="5"/>
        <v>4.0448399047556259E-6</v>
      </c>
      <c r="F135" s="35">
        <f t="shared" si="3"/>
        <v>1.8852998796065973E-2</v>
      </c>
      <c r="G135" s="34">
        <f t="shared" si="6"/>
        <v>-84.9067034552302</v>
      </c>
      <c r="H135" s="34">
        <f t="shared" si="7"/>
        <v>-12.418068586789451</v>
      </c>
      <c r="I135" s="34">
        <f>B135/C74</f>
        <v>2.1454623471358077E-4</v>
      </c>
    </row>
    <row r="136" spans="1:9" ht="15" customHeight="1" x14ac:dyDescent="0.2">
      <c r="A136" s="33">
        <v>61</v>
      </c>
      <c r="B136" s="34">
        <v>2</v>
      </c>
      <c r="C136" s="34">
        <f t="shared" si="4"/>
        <v>1.0016827808383856E-38</v>
      </c>
      <c r="D136" s="35">
        <f t="shared" si="2"/>
        <v>4.6688434414877154E-35</v>
      </c>
      <c r="E136" s="34">
        <f t="shared" si="5"/>
        <v>3.3025051894794628E-6</v>
      </c>
      <c r="F136" s="35">
        <f t="shared" si="3"/>
        <v>1.5392976688163777E-2</v>
      </c>
      <c r="G136" s="34">
        <f t="shared" si="6"/>
        <v>-174.99310433444924</v>
      </c>
      <c r="H136" s="34">
        <f t="shared" si="7"/>
        <v>-25.241658458344141</v>
      </c>
      <c r="I136" s="34">
        <f>B136/C74</f>
        <v>4.2909246942716153E-4</v>
      </c>
    </row>
    <row r="137" spans="1:9" ht="15" customHeight="1" x14ac:dyDescent="0.2">
      <c r="A137" s="33">
        <v>62</v>
      </c>
      <c r="B137" s="34">
        <v>1</v>
      </c>
      <c r="C137" s="34">
        <f t="shared" si="4"/>
        <v>7.3945431769540256E-40</v>
      </c>
      <c r="D137" s="35">
        <f t="shared" si="2"/>
        <v>3.4465965747782714E-36</v>
      </c>
      <c r="E137" s="34">
        <f t="shared" si="5"/>
        <v>2.6964002155140721E-6</v>
      </c>
      <c r="F137" s="35">
        <f t="shared" si="3"/>
        <v>1.2567921404511091E-2</v>
      </c>
      <c r="G137" s="34">
        <f t="shared" si="6"/>
        <v>-90.102661400090824</v>
      </c>
      <c r="H137" s="34">
        <f t="shared" si="7"/>
        <v>-12.823592928040535</v>
      </c>
      <c r="I137" s="34">
        <f>B137/C74</f>
        <v>2.1454623471358077E-4</v>
      </c>
    </row>
    <row r="138" spans="1:9" ht="15" customHeight="1" x14ac:dyDescent="0.2">
      <c r="A138" s="33">
        <v>65</v>
      </c>
      <c r="B138" s="34">
        <v>1</v>
      </c>
      <c r="C138" s="34">
        <f t="shared" si="4"/>
        <v>5.2067991218114379E-41</v>
      </c>
      <c r="D138" s="35">
        <f t="shared" si="2"/>
        <v>2.4268890706763111E-37</v>
      </c>
      <c r="E138" s="34">
        <f t="shared" si="5"/>
        <v>2.2015140447522552E-6</v>
      </c>
      <c r="F138" s="35">
        <f t="shared" si="3"/>
        <v>1.0261256962590261E-2</v>
      </c>
      <c r="G138" s="34">
        <f t="shared" si="6"/>
        <v>-92.756023517807577</v>
      </c>
      <c r="H138" s="34">
        <f t="shared" si="7"/>
        <v>-13.026365232142401</v>
      </c>
      <c r="I138" s="34">
        <f>B138/C74</f>
        <v>2.1454623471358077E-4</v>
      </c>
    </row>
    <row r="139" spans="1:9" ht="15" customHeight="1" x14ac:dyDescent="0.2">
      <c r="A139" s="33">
        <v>67</v>
      </c>
      <c r="B139" s="34">
        <v>1</v>
      </c>
      <c r="C139" s="34">
        <f t="shared" si="4"/>
        <v>3.5568770286820588E-42</v>
      </c>
      <c r="D139" s="35">
        <f t="shared" si="2"/>
        <v>1.6578603830687076E-38</v>
      </c>
      <c r="E139" s="34">
        <f t="shared" si="5"/>
        <v>1.797447697768869E-6</v>
      </c>
      <c r="F139" s="35">
        <f t="shared" si="3"/>
        <v>8.3779037193006979E-3</v>
      </c>
      <c r="G139" s="34">
        <f t="shared" si="6"/>
        <v>-95.439690985019652</v>
      </c>
      <c r="H139" s="34">
        <f t="shared" si="7"/>
        <v>-13.229142844982404</v>
      </c>
      <c r="I139" s="34">
        <f>B139/C74</f>
        <v>2.1454623471358077E-4</v>
      </c>
    </row>
    <row r="140" spans="1:9" ht="15" customHeight="1" x14ac:dyDescent="0.2">
      <c r="A140" s="33">
        <v>68</v>
      </c>
      <c r="B140" s="34">
        <v>1</v>
      </c>
      <c r="C140" s="34">
        <f t="shared" si="4"/>
        <v>2.3940475299694072E-43</v>
      </c>
      <c r="D140" s="35">
        <f t="shared" si="2"/>
        <v>1.1158655537187406E-39</v>
      </c>
      <c r="E140" s="34">
        <f t="shared" si="5"/>
        <v>1.4675400488375586E-6</v>
      </c>
      <c r="F140" s="35">
        <f t="shared" si="3"/>
        <v>6.8402041676318606E-3</v>
      </c>
      <c r="G140" s="34">
        <f t="shared" si="6"/>
        <v>-98.138173538016872</v>
      </c>
      <c r="H140" s="34">
        <f t="shared" si="7"/>
        <v>-13.431922995096908</v>
      </c>
      <c r="I140" s="34">
        <f>B140/C74</f>
        <v>2.1454623471358077E-4</v>
      </c>
    </row>
    <row r="141" spans="1:9" ht="15" customHeight="1" x14ac:dyDescent="0.2">
      <c r="A141" s="33">
        <v>69</v>
      </c>
      <c r="B141" s="34">
        <v>1</v>
      </c>
      <c r="C141" s="34">
        <f t="shared" si="4"/>
        <v>1.5880219756548283E-44</v>
      </c>
      <c r="D141" s="35">
        <f t="shared" si="2"/>
        <v>7.4017704285271548E-41</v>
      </c>
      <c r="E141" s="34">
        <f t="shared" si="5"/>
        <v>1.1981814500290021E-6</v>
      </c>
      <c r="F141" s="35">
        <f t="shared" si="3"/>
        <v>5.5847237385851789E-3</v>
      </c>
      <c r="G141" s="34">
        <f t="shared" si="6"/>
        <v>-100.85125489043524</v>
      </c>
      <c r="H141" s="34">
        <f t="shared" si="7"/>
        <v>-13.63470560894789</v>
      </c>
      <c r="I141" s="34">
        <f>B141/C74</f>
        <v>2.1454623471358077E-4</v>
      </c>
    </row>
    <row r="142" spans="1:9" ht="15" customHeight="1" x14ac:dyDescent="0.2">
      <c r="A142" s="33">
        <v>70</v>
      </c>
      <c r="B142" s="34">
        <v>1</v>
      </c>
      <c r="C142" s="34">
        <f t="shared" si="4"/>
        <v>1.0383201890043353E-45</v>
      </c>
      <c r="D142" s="35">
        <f t="shared" si="2"/>
        <v>4.8396104009492068E-42</v>
      </c>
      <c r="E142" s="34">
        <f t="shared" si="5"/>
        <v>9.782597431320897E-7</v>
      </c>
      <c r="F142" s="35">
        <f t="shared" si="3"/>
        <v>4.5596686627386697E-3</v>
      </c>
      <c r="G142" s="34">
        <f t="shared" si="6"/>
        <v>-103.57872498030572</v>
      </c>
      <c r="H142" s="34">
        <f t="shared" si="7"/>
        <v>-13.837490616148687</v>
      </c>
      <c r="I142" s="34">
        <f>B142/C74</f>
        <v>2.1454623471358077E-4</v>
      </c>
    </row>
    <row r="143" spans="1:9" ht="15" customHeight="1" x14ac:dyDescent="0.2">
      <c r="A143" s="33">
        <v>74</v>
      </c>
      <c r="B143" s="34">
        <v>1</v>
      </c>
      <c r="C143" s="34">
        <f t="shared" si="4"/>
        <v>6.4220311706771787E-47</v>
      </c>
      <c r="D143" s="35">
        <f t="shared" si="2"/>
        <v>2.9933087286526331E-43</v>
      </c>
      <c r="E143" s="34">
        <f t="shared" si="5"/>
        <v>7.986967102214502E-7</v>
      </c>
      <c r="F143" s="35">
        <f t="shared" si="3"/>
        <v>3.7227253663421793E-3</v>
      </c>
      <c r="G143" s="34">
        <f t="shared" si="6"/>
        <v>-106.361764921331</v>
      </c>
      <c r="H143" s="34">
        <f t="shared" si="7"/>
        <v>-14.040284549947977</v>
      </c>
      <c r="I143" s="34">
        <f>B143/C74</f>
        <v>2.1454623471358077E-4</v>
      </c>
    </row>
    <row r="144" spans="1:9" ht="15" customHeight="1" x14ac:dyDescent="0.2">
      <c r="A144" s="33">
        <v>78</v>
      </c>
      <c r="B144" s="34">
        <v>1</v>
      </c>
      <c r="C144" s="34">
        <f t="shared" si="4"/>
        <v>3.7683448298223734E-48</v>
      </c>
      <c r="D144" s="35">
        <f t="shared" si="2"/>
        <v>1.7564255251802082E-44</v>
      </c>
      <c r="E144" s="34">
        <f t="shared" si="5"/>
        <v>6.5208788258315736E-7</v>
      </c>
      <c r="F144" s="35">
        <f t="shared" si="3"/>
        <v>3.0393816207200963E-3</v>
      </c>
      <c r="G144" s="34">
        <f t="shared" si="6"/>
        <v>-109.19744859584171</v>
      </c>
      <c r="H144" s="34">
        <f t="shared" si="7"/>
        <v>-14.24308649486504</v>
      </c>
      <c r="I144" s="34">
        <f>B144/C74</f>
        <v>2.1454623471358077E-4</v>
      </c>
    </row>
    <row r="145" spans="1:11" ht="15" customHeight="1" x14ac:dyDescent="0.2">
      <c r="A145" s="33">
        <v>80</v>
      </c>
      <c r="B145" s="34">
        <v>1</v>
      </c>
      <c r="C145" s="34">
        <f t="shared" si="4"/>
        <v>2.1559241647339812E-49</v>
      </c>
      <c r="D145" s="35">
        <f t="shared" si="2"/>
        <v>1.0048762531825087E-45</v>
      </c>
      <c r="E145" s="34">
        <f t="shared" si="5"/>
        <v>5.323886096792254E-7</v>
      </c>
      <c r="F145" s="35">
        <f t="shared" si="3"/>
        <v>2.4814633097148698E-3</v>
      </c>
      <c r="G145" s="34">
        <f t="shared" si="6"/>
        <v>-112.0584500783367</v>
      </c>
      <c r="H145" s="34">
        <f t="shared" si="7"/>
        <v>-14.445892144945779</v>
      </c>
      <c r="I145" s="34">
        <f>B145/C74</f>
        <v>2.1454623471358077E-4</v>
      </c>
    </row>
    <row r="146" spans="1:11" ht="15" customHeight="1" x14ac:dyDescent="0.2">
      <c r="A146" s="33">
        <v>81</v>
      </c>
      <c r="B146" s="34">
        <v>2</v>
      </c>
      <c r="C146" s="34">
        <f t="shared" si="4"/>
        <v>1.2182075643776442E-50</v>
      </c>
      <c r="D146" s="35">
        <f t="shared" si="2"/>
        <v>5.6780654575641997E-47</v>
      </c>
      <c r="E146" s="34">
        <f t="shared" si="5"/>
        <v>4.3466093089916892E-7</v>
      </c>
      <c r="F146" s="35">
        <f t="shared" si="3"/>
        <v>2.0259545989210264E-3</v>
      </c>
      <c r="G146" s="34">
        <f t="shared" si="6"/>
        <v>-229.86374816166051</v>
      </c>
      <c r="H146" s="34">
        <f t="shared" si="7"/>
        <v>-29.297399157998218</v>
      </c>
      <c r="I146" s="34">
        <f>B146/C74</f>
        <v>4.2909246942716153E-4</v>
      </c>
    </row>
    <row r="147" spans="1:11" ht="15" customHeight="1" x14ac:dyDescent="0.2">
      <c r="A147" s="33">
        <v>83</v>
      </c>
      <c r="B147" s="34">
        <v>1</v>
      </c>
      <c r="C147" s="34">
        <f t="shared" si="4"/>
        <v>6.7176292307272307E-52</v>
      </c>
      <c r="D147" s="35">
        <f t="shared" si="2"/>
        <v>3.1310869844419622E-48</v>
      </c>
      <c r="E147" s="34">
        <f t="shared" si="5"/>
        <v>3.548713696858396E-7</v>
      </c>
      <c r="F147" s="35">
        <f t="shared" si="3"/>
        <v>1.6540554541056983E-3</v>
      </c>
      <c r="G147" s="34">
        <f t="shared" si="6"/>
        <v>-117.82968953644797</v>
      </c>
      <c r="H147" s="34">
        <f t="shared" si="7"/>
        <v>-14.851510452044728</v>
      </c>
      <c r="I147" s="34">
        <f>B147/C74</f>
        <v>2.1454623471358077E-4</v>
      </c>
    </row>
    <row r="148" spans="1:11" ht="15" customHeight="1" x14ac:dyDescent="0.2">
      <c r="A148" s="33">
        <v>99</v>
      </c>
      <c r="B148" s="34">
        <v>1</v>
      </c>
      <c r="C148" s="34">
        <f t="shared" si="4"/>
        <v>3.1056582642365299E-53</v>
      </c>
      <c r="D148" s="35">
        <f t="shared" ref="D148:D150" si="8">C148*$C$74</f>
        <v>1.4475473169606467E-49</v>
      </c>
      <c r="E148" s="34">
        <f t="shared" si="5"/>
        <v>2.8972204614579146E-7</v>
      </c>
      <c r="F148" s="35">
        <f t="shared" ref="F148:F150" si="9">E148*$C$74</f>
        <v>1.3503944570855339E-3</v>
      </c>
      <c r="G148" s="34">
        <f t="shared" si="6"/>
        <v>-120.90378423440367</v>
      </c>
      <c r="H148" s="34">
        <f t="shared" si="7"/>
        <v>-15.054343835150123</v>
      </c>
      <c r="I148" s="34">
        <f>B148/C74</f>
        <v>2.1454623471358077E-4</v>
      </c>
    </row>
    <row r="149" spans="1:11" ht="15" customHeight="1" x14ac:dyDescent="0.2">
      <c r="A149" s="33">
        <v>102</v>
      </c>
      <c r="B149" s="34">
        <v>1</v>
      </c>
      <c r="C149" s="34">
        <f t="shared" ref="C149:C150" si="10">($B$79/A149)*C148</f>
        <v>1.3935620932762449E-54</v>
      </c>
      <c r="D149" s="35">
        <f t="shared" si="8"/>
        <v>6.4953929167605779E-51</v>
      </c>
      <c r="E149" s="34">
        <f t="shared" ref="E149:E150" si="11">(($B$77+A149-1)/(A149*($B$78+1)))*E148</f>
        <v>2.3653239710782518E-7</v>
      </c>
      <c r="F149" s="35">
        <f t="shared" si="9"/>
        <v>1.1024775029195731E-3</v>
      </c>
      <c r="G149" s="34">
        <f t="shared" si="6"/>
        <v>-124.00773189550905</v>
      </c>
      <c r="H149" s="34">
        <f t="shared" si="7"/>
        <v>-15.257180652739336</v>
      </c>
      <c r="I149" s="34">
        <f>B149/C74</f>
        <v>2.1454623471358077E-4</v>
      </c>
    </row>
    <row r="150" spans="1:11" ht="15" customHeight="1" x14ac:dyDescent="0.2">
      <c r="A150" s="33">
        <v>148</v>
      </c>
      <c r="B150" s="34">
        <v>1</v>
      </c>
      <c r="C150" s="34">
        <f t="shared" si="10"/>
        <v>4.309604732753981E-56</v>
      </c>
      <c r="D150" s="35">
        <f t="shared" si="8"/>
        <v>2.0087067659366304E-52</v>
      </c>
      <c r="E150" s="34">
        <f t="shared" si="11"/>
        <v>1.931009558159484E-7</v>
      </c>
      <c r="F150" s="35">
        <f t="shared" si="9"/>
        <v>9.0004355505813552E-4</v>
      </c>
      <c r="G150" s="34">
        <f t="shared" si="6"/>
        <v>-127.48391901709428</v>
      </c>
      <c r="H150" s="34">
        <f t="shared" si="7"/>
        <v>-15.460052697674641</v>
      </c>
      <c r="I150" s="34">
        <f>B150/C74</f>
        <v>2.1454623471358077E-4</v>
      </c>
    </row>
    <row r="151" spans="1:11" ht="15.75" customHeight="1" x14ac:dyDescent="0.2">
      <c r="A151" s="4" t="s">
        <v>7</v>
      </c>
      <c r="B151" s="4"/>
      <c r="C151" s="13">
        <f>SUM(C83:C150)</f>
        <v>0.9897134167005609</v>
      </c>
      <c r="D151" s="57"/>
      <c r="E151" s="57"/>
      <c r="F151" s="57"/>
      <c r="G151" s="57"/>
      <c r="H151" s="57"/>
      <c r="I151" s="57"/>
    </row>
    <row r="152" spans="1:11" ht="15.75" customHeight="1" x14ac:dyDescent="0.2">
      <c r="A152" s="4" t="s">
        <v>8</v>
      </c>
      <c r="B152" s="4"/>
      <c r="C152" s="57"/>
      <c r="D152" s="57"/>
      <c r="E152" s="13">
        <f>SUM(E83:E150)</f>
        <v>0.81988172512950874</v>
      </c>
      <c r="F152" s="57"/>
      <c r="G152" s="57"/>
      <c r="H152" s="57"/>
      <c r="I152" s="57"/>
    </row>
    <row r="153" spans="1:11" ht="18" customHeight="1" x14ac:dyDescent="0.2">
      <c r="A153" s="11" t="s">
        <v>4</v>
      </c>
      <c r="B153" s="13">
        <f t="shared" ref="B153:I153" si="12">SUM(B83:B150)</f>
        <v>4661</v>
      </c>
      <c r="C153" s="13">
        <f t="shared" si="12"/>
        <v>0.9897134167005609</v>
      </c>
      <c r="D153" s="13">
        <f t="shared" si="12"/>
        <v>4613.0542352413158</v>
      </c>
      <c r="E153" s="13">
        <f t="shared" si="12"/>
        <v>0.81988172512950874</v>
      </c>
      <c r="F153" s="13">
        <f t="shared" si="12"/>
        <v>3821.4687208286427</v>
      </c>
      <c r="G153" s="14">
        <f t="shared" si="12"/>
        <v>-21532.208730465078</v>
      </c>
      <c r="H153" s="14">
        <f t="shared" si="12"/>
        <v>-12150.556357925547</v>
      </c>
      <c r="I153" s="13">
        <f t="shared" si="12"/>
        <v>1</v>
      </c>
    </row>
    <row r="154" spans="1:11" ht="7.5" customHeight="1" x14ac:dyDescent="0.2"/>
    <row r="155" spans="1:11" ht="21.75" customHeight="1" x14ac:dyDescent="0.2">
      <c r="A155" s="5" t="s">
        <v>9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ht="18" customHeight="1" x14ac:dyDescent="0.2">
      <c r="A156" s="48" t="s">
        <v>10</v>
      </c>
      <c r="B156" s="49"/>
      <c r="C156" s="49"/>
      <c r="D156" s="49"/>
      <c r="E156" s="50"/>
      <c r="F156" s="3">
        <f>C74</f>
        <v>4661</v>
      </c>
      <c r="G156" s="3"/>
      <c r="H156" s="3"/>
      <c r="I156" s="3"/>
      <c r="J156" s="3"/>
      <c r="K156" s="3"/>
    </row>
    <row r="157" spans="1:11" ht="18" customHeight="1" x14ac:dyDescent="0.2">
      <c r="A157" s="48" t="s">
        <v>80</v>
      </c>
      <c r="B157" s="49"/>
      <c r="C157" s="49"/>
      <c r="D157" s="49"/>
      <c r="E157" s="50"/>
      <c r="F157" s="3">
        <f>SUMPRODUCT(A83:A150,B83:B150)</f>
        <v>21333</v>
      </c>
      <c r="G157" s="3"/>
      <c r="H157" s="3"/>
      <c r="I157" s="3"/>
      <c r="J157" s="3"/>
      <c r="K157" s="3"/>
    </row>
    <row r="158" spans="1:11" ht="18" customHeight="1" x14ac:dyDescent="0.2">
      <c r="A158" s="48" t="s">
        <v>11</v>
      </c>
      <c r="B158" s="49"/>
      <c r="C158" s="49"/>
      <c r="D158" s="49"/>
      <c r="E158" s="50"/>
      <c r="F158" s="3">
        <f>SUMPRODUCT(A83:A150,B83:B150)/C74</f>
        <v>4.5769148251448186</v>
      </c>
      <c r="G158" s="3"/>
      <c r="H158" s="3"/>
      <c r="I158" s="3"/>
      <c r="J158" s="3"/>
      <c r="K158" s="3"/>
    </row>
    <row r="159" spans="1:11" ht="18" customHeight="1" x14ac:dyDescent="0.2">
      <c r="A159" s="48" t="s">
        <v>64</v>
      </c>
      <c r="B159" s="49"/>
      <c r="C159" s="49"/>
      <c r="D159" s="49"/>
      <c r="E159" s="50"/>
      <c r="F159" s="3">
        <f>SUMPRODUCT(B83:B150,(A83:A150-SUMPRODUCT(B83:B150,A83:A150)/C74)^2)/C74</f>
        <v>65.872919123618445</v>
      </c>
      <c r="G159" s="3"/>
      <c r="H159" s="3"/>
      <c r="I159" s="3"/>
      <c r="J159" s="3"/>
      <c r="K159" s="3"/>
    </row>
    <row r="160" spans="1:11" ht="18" customHeight="1" x14ac:dyDescent="0.2">
      <c r="A160" s="48" t="s">
        <v>12</v>
      </c>
      <c r="B160" s="49"/>
      <c r="C160" s="49"/>
      <c r="D160" s="49"/>
      <c r="E160" s="50"/>
      <c r="F160" s="3">
        <f>F159/F158</f>
        <v>14.392428445843791</v>
      </c>
      <c r="G160" s="3"/>
      <c r="H160" s="3"/>
      <c r="I160" s="3"/>
      <c r="J160" s="3"/>
      <c r="K160" s="3"/>
    </row>
    <row r="161" spans="1:12" ht="18" customHeight="1" x14ac:dyDescent="0.2">
      <c r="A161" s="48" t="s">
        <v>13</v>
      </c>
      <c r="B161" s="49"/>
      <c r="C161" s="49"/>
      <c r="D161" s="49"/>
      <c r="E161" s="50"/>
      <c r="F161" s="3">
        <f>MAX(A83:A150)</f>
        <v>148</v>
      </c>
      <c r="G161" s="3"/>
      <c r="H161" s="3"/>
      <c r="I161" s="3"/>
      <c r="J161" s="3"/>
      <c r="K161" s="3"/>
    </row>
    <row r="162" spans="1:12" ht="18" customHeight="1" x14ac:dyDescent="0.2">
      <c r="A162" s="48" t="s">
        <v>65</v>
      </c>
      <c r="B162" s="49"/>
      <c r="C162" s="49"/>
      <c r="D162" s="49"/>
      <c r="E162" s="50"/>
      <c r="F162" s="3">
        <f>(F158^2)/((F159-F158)*(F158/F159))</f>
        <v>4.9186687380854712</v>
      </c>
      <c r="G162" s="3"/>
      <c r="H162" s="3"/>
      <c r="I162" s="3"/>
      <c r="J162" s="3"/>
      <c r="K162" s="3"/>
    </row>
    <row r="163" spans="1:12" ht="18" customHeight="1" x14ac:dyDescent="0.2">
      <c r="A163" s="48" t="s">
        <v>66</v>
      </c>
      <c r="B163" s="49"/>
      <c r="C163" s="49"/>
      <c r="D163" s="49"/>
      <c r="E163" s="50"/>
      <c r="F163" s="3">
        <f>F158/(F159-F158)</f>
        <v>7.4669056776655043E-2</v>
      </c>
      <c r="G163" s="3"/>
      <c r="H163" s="3"/>
      <c r="I163" s="3"/>
      <c r="J163" s="3"/>
      <c r="K163" s="3"/>
    </row>
    <row r="164" spans="1:12" ht="18" customHeight="1" x14ac:dyDescent="0.2">
      <c r="A164" s="51" t="s">
        <v>67</v>
      </c>
      <c r="B164" s="52"/>
      <c r="C164" s="52"/>
      <c r="D164" s="52"/>
      <c r="E164" s="53"/>
      <c r="F164" s="47">
        <f>B77</f>
        <v>1.0115618027827986</v>
      </c>
      <c r="G164" s="47"/>
      <c r="H164" s="47"/>
      <c r="I164" s="47"/>
      <c r="J164" s="47"/>
      <c r="K164" s="47"/>
    </row>
    <row r="165" spans="1:12" ht="18" customHeight="1" x14ac:dyDescent="0.2">
      <c r="A165" s="51" t="s">
        <v>68</v>
      </c>
      <c r="B165" s="52"/>
      <c r="C165" s="52"/>
      <c r="D165" s="52"/>
      <c r="E165" s="53"/>
      <c r="F165" s="47">
        <f>B78</f>
        <v>0.22501141481934295</v>
      </c>
      <c r="G165" s="47"/>
      <c r="H165" s="47"/>
      <c r="I165" s="47"/>
      <c r="J165" s="47"/>
      <c r="K165" s="47"/>
    </row>
    <row r="166" spans="1:12" ht="18" customHeight="1" x14ac:dyDescent="0.2">
      <c r="A166" s="54" t="s">
        <v>69</v>
      </c>
      <c r="B166" s="55"/>
      <c r="C166" s="55"/>
      <c r="D166" s="55"/>
      <c r="E166" s="56"/>
      <c r="F166" s="60">
        <f>B79</f>
        <v>4.5769148251448186</v>
      </c>
      <c r="G166" s="60"/>
      <c r="H166" s="60"/>
      <c r="I166" s="60"/>
      <c r="J166" s="60"/>
      <c r="K166" s="60"/>
    </row>
    <row r="167" spans="1:12" ht="18" customHeight="1" x14ac:dyDescent="0.2">
      <c r="A167" s="51" t="s">
        <v>70</v>
      </c>
      <c r="B167" s="52"/>
      <c r="C167" s="52"/>
      <c r="D167" s="52"/>
      <c r="E167" s="53"/>
      <c r="F167" s="61">
        <f>G153</f>
        <v>-21532.208730465078</v>
      </c>
      <c r="G167" s="61"/>
      <c r="H167" s="61"/>
      <c r="I167" s="61"/>
      <c r="J167" s="61"/>
      <c r="K167" s="61"/>
    </row>
    <row r="168" spans="1:12" ht="18" customHeight="1" x14ac:dyDescent="0.2">
      <c r="A168" s="51" t="s">
        <v>71</v>
      </c>
      <c r="B168" s="52"/>
      <c r="C168" s="52"/>
      <c r="D168" s="52"/>
      <c r="E168" s="53"/>
      <c r="F168" s="61">
        <f>H153</f>
        <v>-12150.556357925547</v>
      </c>
      <c r="G168" s="61"/>
      <c r="H168" s="61"/>
      <c r="I168" s="61"/>
      <c r="J168" s="61"/>
      <c r="K168" s="61"/>
    </row>
    <row r="169" spans="1:12" ht="18" customHeight="1" x14ac:dyDescent="0.2">
      <c r="A169" s="54" t="s">
        <v>72</v>
      </c>
      <c r="B169" s="55"/>
      <c r="C169" s="55"/>
      <c r="D169" s="55"/>
      <c r="E169" s="56"/>
      <c r="F169" s="62">
        <f>F164/F165</f>
        <v>4.4956021613168415</v>
      </c>
      <c r="G169" s="63"/>
      <c r="H169" s="63"/>
      <c r="I169" s="63"/>
      <c r="J169" s="63"/>
      <c r="K169" s="64"/>
    </row>
    <row r="170" spans="1:12" ht="18" customHeight="1" x14ac:dyDescent="0.2">
      <c r="A170" s="48" t="s">
        <v>14</v>
      </c>
      <c r="B170" s="49"/>
      <c r="C170" s="49"/>
      <c r="D170" s="49"/>
      <c r="E170" s="50"/>
      <c r="F170" s="3">
        <f>H153-G153</f>
        <v>9381.6523725395309</v>
      </c>
      <c r="G170" s="3"/>
      <c r="H170" s="3"/>
      <c r="I170" s="3"/>
      <c r="J170" s="3"/>
      <c r="K170" s="3"/>
    </row>
    <row r="171" spans="1:12" ht="18" customHeight="1" x14ac:dyDescent="0.2">
      <c r="A171" s="48" t="s">
        <v>15</v>
      </c>
      <c r="B171" s="49"/>
      <c r="C171" s="49"/>
      <c r="D171" s="49"/>
      <c r="E171" s="50"/>
      <c r="F171" s="3">
        <f>2*(H153-G153)</f>
        <v>18763.304745079062</v>
      </c>
      <c r="G171" s="3"/>
      <c r="H171" s="3"/>
      <c r="I171" s="3"/>
      <c r="J171" s="3"/>
      <c r="K171" s="3"/>
    </row>
    <row r="172" spans="1:12" ht="18" customHeight="1" x14ac:dyDescent="0.2">
      <c r="A172" s="48" t="s">
        <v>16</v>
      </c>
      <c r="B172" s="49"/>
      <c r="C172" s="49"/>
      <c r="D172" s="49"/>
      <c r="E172" s="50"/>
      <c r="F172" s="3">
        <v>1</v>
      </c>
      <c r="G172" s="3"/>
      <c r="H172" s="3"/>
      <c r="I172" s="3"/>
      <c r="J172" s="3"/>
      <c r="K172" s="3"/>
      <c r="L172" t="s">
        <v>83</v>
      </c>
    </row>
    <row r="173" spans="1:12" ht="18" customHeight="1" x14ac:dyDescent="0.2">
      <c r="A173" s="48" t="s">
        <v>17</v>
      </c>
      <c r="B173" s="49"/>
      <c r="C173" s="49"/>
      <c r="D173" s="49"/>
      <c r="E173" s="50"/>
      <c r="F173" s="3">
        <f>CHIDIST(2*(H153-G153),1)</f>
        <v>0</v>
      </c>
      <c r="G173" s="3"/>
      <c r="H173" s="3"/>
      <c r="I173" s="3"/>
      <c r="J173" s="3"/>
      <c r="K173" s="3"/>
    </row>
    <row r="174" spans="1:12" ht="18" customHeight="1" x14ac:dyDescent="0.2">
      <c r="A174" s="48" t="s">
        <v>18</v>
      </c>
      <c r="B174" s="49"/>
      <c r="C174" s="49"/>
      <c r="D174" s="49"/>
      <c r="E174" s="50"/>
      <c r="F174" s="2">
        <v>0.3861</v>
      </c>
      <c r="G174" s="2"/>
      <c r="H174" s="2"/>
      <c r="I174" s="2"/>
      <c r="J174" s="2"/>
      <c r="K174" s="2"/>
      <c r="L174" t="s">
        <v>84</v>
      </c>
    </row>
    <row r="175" spans="1:12" ht="15" customHeight="1" x14ac:dyDescent="0.2"/>
    <row r="176" spans="1:12" ht="21.75" customHeight="1" x14ac:dyDescent="0.2">
      <c r="A176" s="65" t="s">
        <v>81</v>
      </c>
      <c r="B176" s="66"/>
      <c r="C176" s="66"/>
      <c r="D176" s="66"/>
      <c r="E176" s="66"/>
      <c r="F176" s="66"/>
      <c r="G176" s="24"/>
      <c r="H176" s="20"/>
      <c r="I176" s="20"/>
      <c r="J176" s="20"/>
      <c r="K176" s="20"/>
    </row>
    <row r="177" spans="1:11" ht="31.5" customHeight="1" x14ac:dyDescent="0.2">
      <c r="A177" s="8" t="s">
        <v>19</v>
      </c>
      <c r="B177" s="8" t="s">
        <v>20</v>
      </c>
      <c r="C177" s="8" t="s">
        <v>6</v>
      </c>
      <c r="D177" s="8" t="s">
        <v>21</v>
      </c>
      <c r="E177" s="8" t="s">
        <v>22</v>
      </c>
      <c r="F177" s="67" t="s">
        <v>23</v>
      </c>
      <c r="G177" s="70"/>
      <c r="H177" s="69"/>
      <c r="I177" s="69"/>
      <c r="J177" s="69"/>
      <c r="K177" s="69"/>
    </row>
    <row r="178" spans="1:11" ht="15" customHeight="1" x14ac:dyDescent="0.2">
      <c r="A178" s="36" t="s">
        <v>24</v>
      </c>
      <c r="B178" s="34">
        <f>SUMIF(A83:A150,1,B83:B150)</f>
        <v>2021</v>
      </c>
      <c r="C178" s="34">
        <f>SUMIF(A83:A150,1,F83:F150)</f>
        <v>693.24550441059102</v>
      </c>
      <c r="D178" s="34">
        <f t="shared" ref="D178:D202" si="13">B178-C178</f>
        <v>1327.7544955894091</v>
      </c>
      <c r="E178" s="34">
        <f t="shared" ref="E178:E202" si="14">IF(C178&gt;0,(B178-C178)^2/C178,"")</f>
        <v>2543.0125249160624</v>
      </c>
      <c r="F178" s="68" t="str">
        <f>IF(C178&gt;=5,"YES","NO")</f>
        <v>YES</v>
      </c>
      <c r="G178" s="70"/>
      <c r="H178" s="69"/>
      <c r="I178" s="69"/>
      <c r="J178" s="69"/>
      <c r="K178" s="69"/>
    </row>
    <row r="179" spans="1:11" ht="15" customHeight="1" x14ac:dyDescent="0.2">
      <c r="A179" s="36" t="s">
        <v>25</v>
      </c>
      <c r="B179" s="34">
        <f>SUMIF(A83:A150,2,B83:B150)</f>
        <v>780</v>
      </c>
      <c r="C179" s="34">
        <f>SUMIF(A83:A150,2,F83:F150)</f>
        <v>569.18089078741048</v>
      </c>
      <c r="D179" s="34">
        <f t="shared" si="13"/>
        <v>210.81910921258952</v>
      </c>
      <c r="E179" s="34">
        <f t="shared" si="14"/>
        <v>78.085363596280473</v>
      </c>
      <c r="F179" s="36" t="str">
        <f t="shared" ref="F179:F202" si="15">IF(C179&gt;=5,"YES","NO")</f>
        <v>YES</v>
      </c>
    </row>
    <row r="180" spans="1:11" ht="15" customHeight="1" x14ac:dyDescent="0.2">
      <c r="A180" s="36" t="s">
        <v>26</v>
      </c>
      <c r="B180" s="34">
        <f>SUMIF(A83:A150,3,B83:B150)</f>
        <v>432</v>
      </c>
      <c r="C180" s="34">
        <f>SUMIF(A83:A150,3,F83:F150)</f>
        <v>466.42379786097513</v>
      </c>
      <c r="D180" s="34">
        <f t="shared" si="13"/>
        <v>-34.423797860975128</v>
      </c>
      <c r="E180" s="34">
        <f t="shared" si="14"/>
        <v>2.5406033410123787</v>
      </c>
      <c r="F180" s="36" t="str">
        <f t="shared" si="15"/>
        <v>YES</v>
      </c>
    </row>
    <row r="181" spans="1:11" ht="15" customHeight="1" x14ac:dyDescent="0.2">
      <c r="A181" s="36" t="s">
        <v>27</v>
      </c>
      <c r="B181" s="34">
        <f>SUMIF(A83:A150,4,B83:B150)</f>
        <v>291</v>
      </c>
      <c r="C181" s="34">
        <f>SUMIF(A83:A150,4,F83:F150)</f>
        <v>381.85111354327859</v>
      </c>
      <c r="D181" s="34">
        <f t="shared" si="13"/>
        <v>-90.851113543278586</v>
      </c>
      <c r="E181" s="34">
        <f t="shared" si="14"/>
        <v>21.615557842594079</v>
      </c>
      <c r="F181" s="36" t="str">
        <f t="shared" si="15"/>
        <v>YES</v>
      </c>
    </row>
    <row r="182" spans="1:11" ht="15" customHeight="1" x14ac:dyDescent="0.2">
      <c r="A182" s="36" t="s">
        <v>28</v>
      </c>
      <c r="B182" s="34">
        <f>SUMIF(A83:A150,5,B83:B150)</f>
        <v>199</v>
      </c>
      <c r="C182" s="34">
        <f>SUMIF(A83:A150,5,F83:F150)</f>
        <v>312.43308133023214</v>
      </c>
      <c r="D182" s="34">
        <f t="shared" si="13"/>
        <v>-113.43308133023214</v>
      </c>
      <c r="E182" s="34">
        <f t="shared" si="14"/>
        <v>41.183423615986968</v>
      </c>
      <c r="F182" s="36" t="str">
        <f t="shared" si="15"/>
        <v>YES</v>
      </c>
    </row>
    <row r="183" spans="1:11" ht="15" customHeight="1" x14ac:dyDescent="0.2">
      <c r="A183" s="36" t="s">
        <v>29</v>
      </c>
      <c r="B183" s="34">
        <f>SUMIF(A83:A150,6,B83:B150)</f>
        <v>143</v>
      </c>
      <c r="C183" s="34">
        <f>SUMIF(A83:A150,6,F83:F150)</f>
        <v>255.53650016770683</v>
      </c>
      <c r="D183" s="34">
        <f t="shared" si="13"/>
        <v>-112.53650016770683</v>
      </c>
      <c r="E183" s="34">
        <f t="shared" si="14"/>
        <v>49.560293193671669</v>
      </c>
      <c r="F183" s="36" t="str">
        <f t="shared" si="15"/>
        <v>YES</v>
      </c>
    </row>
    <row r="184" spans="1:11" ht="15" customHeight="1" x14ac:dyDescent="0.2">
      <c r="A184" s="36" t="s">
        <v>30</v>
      </c>
      <c r="B184" s="34">
        <f>SUMIF(A83:A150,7,B83:B150)</f>
        <v>119</v>
      </c>
      <c r="C184" s="34">
        <f>SUMIF(A83:A150,7,F83:F150)</f>
        <v>208.94382138785724</v>
      </c>
      <c r="D184" s="34">
        <f t="shared" si="13"/>
        <v>-89.943821387857241</v>
      </c>
      <c r="E184" s="34">
        <f t="shared" si="14"/>
        <v>38.718019762995056</v>
      </c>
      <c r="F184" s="36" t="str">
        <f t="shared" si="15"/>
        <v>YES</v>
      </c>
    </row>
    <row r="185" spans="1:11" ht="15" customHeight="1" x14ac:dyDescent="0.2">
      <c r="A185" s="36" t="s">
        <v>31</v>
      </c>
      <c r="B185" s="34">
        <f>SUMIF(A83:A150,8,B83:B150)</f>
        <v>74</v>
      </c>
      <c r="C185" s="34">
        <f>SUMIF(A83:A150,8,F83:F150)</f>
        <v>170.81130001197729</v>
      </c>
      <c r="D185" s="34">
        <f t="shared" si="13"/>
        <v>-96.811300011977295</v>
      </c>
      <c r="E185" s="34">
        <f t="shared" si="14"/>
        <v>54.870068955343584</v>
      </c>
      <c r="F185" s="36" t="str">
        <f t="shared" si="15"/>
        <v>YES</v>
      </c>
    </row>
    <row r="186" spans="1:11" ht="15" customHeight="1" x14ac:dyDescent="0.2">
      <c r="A186" s="36" t="s">
        <v>32</v>
      </c>
      <c r="B186" s="34">
        <f>SUMIF(A83:A150,9,B83:B150)</f>
        <v>76</v>
      </c>
      <c r="C186" s="34">
        <f>SUMIF(A83:A150,9,F83:F150)</f>
        <v>139.61562299207097</v>
      </c>
      <c r="D186" s="34">
        <f t="shared" si="13"/>
        <v>-63.615622992070968</v>
      </c>
      <c r="E186" s="34">
        <f t="shared" si="14"/>
        <v>28.986351254537912</v>
      </c>
      <c r="F186" s="36" t="str">
        <f t="shared" si="15"/>
        <v>YES</v>
      </c>
    </row>
    <row r="187" spans="1:11" ht="15" customHeight="1" x14ac:dyDescent="0.2">
      <c r="A187" s="36" t="s">
        <v>33</v>
      </c>
      <c r="B187" s="34">
        <f>SUMIF(A83:A150,10,B83:B150)</f>
        <v>51</v>
      </c>
      <c r="C187" s="34">
        <f>SUMIF(A83:A150,10,F83:F150)</f>
        <v>114.10264600883544</v>
      </c>
      <c r="D187" s="34">
        <f t="shared" si="13"/>
        <v>-63.102646008835436</v>
      </c>
      <c r="E187" s="34">
        <f t="shared" si="14"/>
        <v>34.897910544581556</v>
      </c>
      <c r="F187" s="36" t="str">
        <f t="shared" si="15"/>
        <v>YES</v>
      </c>
    </row>
    <row r="188" spans="1:11" ht="15" customHeight="1" x14ac:dyDescent="0.2">
      <c r="A188" s="36" t="s">
        <v>34</v>
      </c>
      <c r="B188" s="34">
        <f>SUMIF(A83:A150,11,B83:B150)</f>
        <v>62</v>
      </c>
      <c r="C188" s="34">
        <f>SUMIF(A83:A150,11,F83:F150)</f>
        <v>93.242050510913558</v>
      </c>
      <c r="D188" s="34">
        <f t="shared" si="13"/>
        <v>-31.242050510913558</v>
      </c>
      <c r="E188" s="34">
        <f t="shared" si="14"/>
        <v>10.468085105145022</v>
      </c>
      <c r="F188" s="36" t="str">
        <f t="shared" si="15"/>
        <v>YES</v>
      </c>
    </row>
    <row r="189" spans="1:11" ht="15" customHeight="1" x14ac:dyDescent="0.2">
      <c r="A189" s="36" t="s">
        <v>35</v>
      </c>
      <c r="B189" s="34">
        <f>SUMIF(A83:A150,12,B83:B150)</f>
        <v>38</v>
      </c>
      <c r="C189" s="34">
        <f>SUMIF(A83:A150,12,F83:F150)</f>
        <v>76.18858613487572</v>
      </c>
      <c r="D189" s="34">
        <f t="shared" si="13"/>
        <v>-38.18858613487572</v>
      </c>
      <c r="E189" s="34">
        <f t="shared" si="14"/>
        <v>19.141556300822948</v>
      </c>
      <c r="F189" s="36" t="str">
        <f t="shared" si="15"/>
        <v>YES</v>
      </c>
    </row>
    <row r="190" spans="1:11" ht="15" customHeight="1" x14ac:dyDescent="0.2">
      <c r="A190" s="36" t="s">
        <v>36</v>
      </c>
      <c r="B190" s="34">
        <f>SUMIF(A83:A150,13,B83:B150)</f>
        <v>32</v>
      </c>
      <c r="C190" s="34">
        <f>SUMIF(A83:A150,13,F83:F150)</f>
        <v>62.249498260124163</v>
      </c>
      <c r="D190" s="34">
        <f t="shared" si="13"/>
        <v>-30.249498260124163</v>
      </c>
      <c r="E190" s="34">
        <f t="shared" si="14"/>
        <v>14.699430044649963</v>
      </c>
      <c r="F190" s="36" t="str">
        <f t="shared" si="15"/>
        <v>YES</v>
      </c>
    </row>
    <row r="191" spans="1:11" ht="15" customHeight="1" x14ac:dyDescent="0.2">
      <c r="A191" s="36" t="s">
        <v>37</v>
      </c>
      <c r="B191" s="34">
        <f>SUMIF(A83:A150,14,B83:B150)</f>
        <v>25</v>
      </c>
      <c r="C191" s="34">
        <f>SUMIF(A83:A150,14,F83:F150)</f>
        <v>50.857409018661407</v>
      </c>
      <c r="D191" s="34">
        <f t="shared" si="13"/>
        <v>-25.857409018661407</v>
      </c>
      <c r="E191" s="34">
        <f t="shared" si="14"/>
        <v>13.146670545348012</v>
      </c>
      <c r="F191" s="36" t="str">
        <f t="shared" si="15"/>
        <v>YES</v>
      </c>
    </row>
    <row r="192" spans="1:11" ht="15" customHeight="1" x14ac:dyDescent="0.2">
      <c r="A192" s="36" t="s">
        <v>38</v>
      </c>
      <c r="B192" s="34">
        <f>SUMIF(A83:A150,15,B83:B150)</f>
        <v>32</v>
      </c>
      <c r="C192" s="34">
        <f>SUMIF(A83:A150,15,F83:F150)</f>
        <v>41.547865289381953</v>
      </c>
      <c r="D192" s="34">
        <f t="shared" si="13"/>
        <v>-9.5478652893819529</v>
      </c>
      <c r="E192" s="34">
        <f t="shared" si="14"/>
        <v>2.1941375555456557</v>
      </c>
      <c r="F192" s="36" t="str">
        <f t="shared" si="15"/>
        <v>YES</v>
      </c>
    </row>
    <row r="193" spans="1:6" ht="15" customHeight="1" x14ac:dyDescent="0.2">
      <c r="A193" s="36" t="s">
        <v>39</v>
      </c>
      <c r="B193" s="34">
        <f>SUMIF(A83:A150,16,B83:B150)</f>
        <v>24</v>
      </c>
      <c r="C193" s="34">
        <f>SUMIF(A83:A150,16,F83:F150)</f>
        <v>33.940817040914048</v>
      </c>
      <c r="D193" s="34">
        <f t="shared" si="13"/>
        <v>-9.9408170409140482</v>
      </c>
      <c r="E193" s="34">
        <f t="shared" si="14"/>
        <v>2.9115340188129379</v>
      </c>
      <c r="F193" s="36" t="str">
        <f t="shared" si="15"/>
        <v>YES</v>
      </c>
    </row>
    <row r="194" spans="1:6" ht="15" customHeight="1" x14ac:dyDescent="0.2">
      <c r="A194" s="36" t="s">
        <v>40</v>
      </c>
      <c r="B194" s="34">
        <f>SUMIF(A83:A150,17,B83:B150)</f>
        <v>23</v>
      </c>
      <c r="C194" s="34">
        <f>SUMIF(A83:A150,17,F83:F150)</f>
        <v>27.725374625019416</v>
      </c>
      <c r="D194" s="34">
        <f t="shared" si="13"/>
        <v>-4.7253746250194162</v>
      </c>
      <c r="E194" s="34">
        <f t="shared" si="14"/>
        <v>0.80536929252625922</v>
      </c>
      <c r="F194" s="36" t="str">
        <f t="shared" si="15"/>
        <v>YES</v>
      </c>
    </row>
    <row r="195" spans="1:6" ht="15" customHeight="1" x14ac:dyDescent="0.2">
      <c r="A195" s="36" t="s">
        <v>41</v>
      </c>
      <c r="B195" s="34">
        <f>SUMIF(A83:A150,18,B83:B150)</f>
        <v>21</v>
      </c>
      <c r="C195" s="34">
        <f>SUMIF(A83:A150,18,F83:F150)</f>
        <v>22.647285501121821</v>
      </c>
      <c r="D195" s="34">
        <f t="shared" si="13"/>
        <v>-1.6472855011218215</v>
      </c>
      <c r="E195" s="34">
        <f t="shared" si="14"/>
        <v>0.11981787053780713</v>
      </c>
      <c r="F195" s="36" t="str">
        <f t="shared" si="15"/>
        <v>YES</v>
      </c>
    </row>
    <row r="196" spans="1:6" ht="15" customHeight="1" x14ac:dyDescent="0.2">
      <c r="A196" s="36" t="s">
        <v>42</v>
      </c>
      <c r="B196" s="34">
        <f>SUMIF(A83:A150,19,B83:B150)</f>
        <v>17</v>
      </c>
      <c r="C196" s="34">
        <f>SUMIF(A83:A150,19,F83:F150)</f>
        <v>18.498657613404259</v>
      </c>
      <c r="D196" s="34">
        <f t="shared" si="13"/>
        <v>-1.4986576134042586</v>
      </c>
      <c r="E196" s="34">
        <f t="shared" si="14"/>
        <v>0.12141284460484845</v>
      </c>
      <c r="F196" s="36" t="str">
        <f t="shared" si="15"/>
        <v>YES</v>
      </c>
    </row>
    <row r="197" spans="1:6" ht="15" customHeight="1" x14ac:dyDescent="0.2">
      <c r="A197" s="36" t="s">
        <v>43</v>
      </c>
      <c r="B197" s="34">
        <f>SUMIF(A83:A150,20,B83:B150)</f>
        <v>16</v>
      </c>
      <c r="C197" s="34">
        <f>SUMIF(A83:A150,20,F83:F150)</f>
        <v>15.109533903965733</v>
      </c>
      <c r="D197" s="34">
        <f t="shared" si="13"/>
        <v>0.89046609603426674</v>
      </c>
      <c r="E197" s="34">
        <f t="shared" si="14"/>
        <v>5.2478777520621675E-2</v>
      </c>
      <c r="F197" s="36" t="str">
        <f t="shared" si="15"/>
        <v>YES</v>
      </c>
    </row>
    <row r="198" spans="1:6" ht="15" customHeight="1" x14ac:dyDescent="0.2">
      <c r="A198" s="36" t="s">
        <v>44</v>
      </c>
      <c r="B198" s="34">
        <f>SUMIF(A83:A150,21,B83:B150)</f>
        <v>22</v>
      </c>
      <c r="C198" s="34">
        <f>SUMIF(A83:A150,21,F83:F150)</f>
        <v>12.340989199650581</v>
      </c>
      <c r="D198" s="34">
        <f t="shared" si="13"/>
        <v>9.6590108003494191</v>
      </c>
      <c r="E198" s="34">
        <f t="shared" si="14"/>
        <v>7.5598874718979818</v>
      </c>
      <c r="F198" s="36" t="str">
        <f t="shared" si="15"/>
        <v>YES</v>
      </c>
    </row>
    <row r="199" spans="1:6" ht="15" customHeight="1" x14ac:dyDescent="0.2">
      <c r="A199" s="36" t="s">
        <v>45</v>
      </c>
      <c r="B199" s="34">
        <f>SUMIF(A83:A150,22,B83:B150)</f>
        <v>8</v>
      </c>
      <c r="C199" s="34">
        <f>SUMIF(A83:A150,22,F83:F150)</f>
        <v>10.079477375008944</v>
      </c>
      <c r="D199" s="34">
        <f t="shared" si="13"/>
        <v>-2.0794773750089437</v>
      </c>
      <c r="E199" s="34">
        <f t="shared" si="14"/>
        <v>0.42901293314032068</v>
      </c>
      <c r="F199" s="36" t="str">
        <f t="shared" si="15"/>
        <v>YES</v>
      </c>
    </row>
    <row r="200" spans="1:6" ht="15" customHeight="1" x14ac:dyDescent="0.2">
      <c r="A200" s="36" t="s">
        <v>46</v>
      </c>
      <c r="B200" s="34">
        <f>SUMIF(A83:A150,23,B83:B150)</f>
        <v>6</v>
      </c>
      <c r="C200" s="34">
        <f>SUMIF(A83:A150,23,F83:F150)</f>
        <v>8.2322042684970818</v>
      </c>
      <c r="D200" s="34">
        <f t="shared" si="13"/>
        <v>-2.2322042684970818</v>
      </c>
      <c r="E200" s="34">
        <f t="shared" si="14"/>
        <v>0.60527359790675705</v>
      </c>
      <c r="F200" s="36" t="str">
        <f t="shared" si="15"/>
        <v>YES</v>
      </c>
    </row>
    <row r="201" spans="1:6" ht="15" customHeight="1" x14ac:dyDescent="0.2">
      <c r="A201" s="36" t="s">
        <v>47</v>
      </c>
      <c r="B201" s="34">
        <f>SUMIF(A83:A150,24,B83:B150)</f>
        <v>9</v>
      </c>
      <c r="C201" s="34">
        <f>SUMIF(A83:A150,24,F83:F150)</f>
        <v>6.7233414853288282</v>
      </c>
      <c r="D201" s="34">
        <f t="shared" si="13"/>
        <v>2.2766585146711718</v>
      </c>
      <c r="E201" s="34">
        <f t="shared" si="14"/>
        <v>0.77092231649025711</v>
      </c>
      <c r="F201" s="36" t="str">
        <f t="shared" si="15"/>
        <v>YES</v>
      </c>
    </row>
    <row r="202" spans="1:6" ht="15" customHeight="1" x14ac:dyDescent="0.2">
      <c r="A202" s="36" t="s">
        <v>48</v>
      </c>
      <c r="B202" s="34">
        <f>SUMIF(A83:A150,25,B83:B150)</f>
        <v>13</v>
      </c>
      <c r="C202" s="34">
        <f>SUMIF(A83:A150,25,F83:F150)</f>
        <v>5.49092911452796</v>
      </c>
      <c r="D202" s="34">
        <f t="shared" si="13"/>
        <v>7.50907088547204</v>
      </c>
      <c r="E202" s="34">
        <f t="shared" si="14"/>
        <v>10.268962572082158</v>
      </c>
      <c r="F202" s="36" t="str">
        <f t="shared" si="15"/>
        <v>YES</v>
      </c>
    </row>
    <row r="203" spans="1:6" ht="15" customHeight="1" x14ac:dyDescent="0.2">
      <c r="A203" s="36" t="s">
        <v>82</v>
      </c>
      <c r="B203" s="34" cm="1">
        <f t="array" ref="B203">SUMPRODUCT((A83:A150&gt;=26)*B83:B150)</f>
        <v>127</v>
      </c>
      <c r="C203" s="34" cm="1">
        <f t="array" ref="C203">SUMPRODUCT((A83:A150&gt;=26)*F83:F150)</f>
        <v>24.450422986310237</v>
      </c>
      <c r="D203" s="34">
        <f>B203-C203</f>
        <v>102.54957701368977</v>
      </c>
      <c r="E203" s="34">
        <f>IF(C203&gt;0,(B203-C203)^2/C203,"")</f>
        <v>430.11181244491428</v>
      </c>
      <c r="F203" s="36" t="str">
        <f>IF(C203&gt;=5,"YES","NO")</f>
        <v>YES</v>
      </c>
    </row>
    <row r="204" spans="1:6" ht="18" customHeight="1" x14ac:dyDescent="0.2">
      <c r="A204" s="11" t="s">
        <v>4</v>
      </c>
      <c r="B204" s="13">
        <f>SUM(B178:B203)</f>
        <v>4661</v>
      </c>
      <c r="C204" s="13">
        <f>SUM(C178:C203)</f>
        <v>3821.4687208286418</v>
      </c>
      <c r="D204" s="12"/>
      <c r="E204" s="14">
        <f>SUM(E178:E203)</f>
        <v>3406.8764807150119</v>
      </c>
      <c r="F204" s="15"/>
    </row>
    <row r="205" spans="1:6" ht="18" customHeight="1" x14ac:dyDescent="0.2">
      <c r="A205" s="4" t="s">
        <v>49</v>
      </c>
      <c r="B205" s="4"/>
      <c r="C205" s="4"/>
      <c r="D205" s="4"/>
      <c r="E205" s="14">
        <v>23</v>
      </c>
      <c r="F205" s="15"/>
    </row>
    <row r="206" spans="1:6" ht="18" customHeight="1" x14ac:dyDescent="0.2">
      <c r="A206" s="4" t="s">
        <v>50</v>
      </c>
      <c r="B206" s="4"/>
      <c r="C206" s="4"/>
      <c r="D206" s="4"/>
      <c r="E206" s="16">
        <f>CHIDIST(E204,25)</f>
        <v>0</v>
      </c>
      <c r="F206" s="15"/>
    </row>
  </sheetData>
  <mergeCells count="49">
    <mergeCell ref="A205:D205"/>
    <mergeCell ref="A206:D206"/>
    <mergeCell ref="A4:E4"/>
    <mergeCell ref="A76:B76"/>
    <mergeCell ref="A174:E174"/>
    <mergeCell ref="A81:I81"/>
    <mergeCell ref="F169:K169"/>
    <mergeCell ref="A176:F176"/>
    <mergeCell ref="A172:E172"/>
    <mergeCell ref="F173:K173"/>
    <mergeCell ref="A173:E173"/>
    <mergeCell ref="F174:K174"/>
    <mergeCell ref="A169:E169"/>
    <mergeCell ref="F170:K170"/>
    <mergeCell ref="A170:E170"/>
    <mergeCell ref="F171:K171"/>
    <mergeCell ref="A171:E171"/>
    <mergeCell ref="F172:K172"/>
    <mergeCell ref="A166:E166"/>
    <mergeCell ref="F166:K166"/>
    <mergeCell ref="A167:E167"/>
    <mergeCell ref="F167:K167"/>
    <mergeCell ref="A168:E168"/>
    <mergeCell ref="F168:K168"/>
    <mergeCell ref="A163:E163"/>
    <mergeCell ref="F163:K163"/>
    <mergeCell ref="A164:E164"/>
    <mergeCell ref="F164:K164"/>
    <mergeCell ref="A165:E165"/>
    <mergeCell ref="F165:K165"/>
    <mergeCell ref="A160:E160"/>
    <mergeCell ref="F160:K160"/>
    <mergeCell ref="A161:E161"/>
    <mergeCell ref="F161:K161"/>
    <mergeCell ref="A162:E162"/>
    <mergeCell ref="F162:K162"/>
    <mergeCell ref="A157:E157"/>
    <mergeCell ref="F157:K157"/>
    <mergeCell ref="A158:E158"/>
    <mergeCell ref="F158:K158"/>
    <mergeCell ref="A159:E159"/>
    <mergeCell ref="F159:K159"/>
    <mergeCell ref="A151:B151"/>
    <mergeCell ref="A152:B152"/>
    <mergeCell ref="A155:K155"/>
    <mergeCell ref="A156:E156"/>
    <mergeCell ref="F156:K156"/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9"/>
  <sheetViews>
    <sheetView showGridLines="0" zoomScale="41" zoomScaleNormal="100" workbookViewId="0">
      <selection activeCell="K84" sqref="K84"/>
    </sheetView>
  </sheetViews>
  <sheetFormatPr baseColWidth="10" defaultColWidth="8.6640625" defaultRowHeight="15" x14ac:dyDescent="0.2"/>
  <cols>
    <col min="1" max="1" width="8" customWidth="1"/>
    <col min="2" max="4" width="18" customWidth="1"/>
    <col min="16" max="16" width="7.5" customWidth="1"/>
    <col min="17" max="17" width="15.1640625" customWidth="1"/>
    <col min="18" max="18" width="14.6640625" customWidth="1"/>
    <col min="19" max="19" width="13.1640625" customWidth="1"/>
  </cols>
  <sheetData>
    <row r="1" spans="1:19" ht="27.75" customHeight="1" x14ac:dyDescent="0.2">
      <c r="A1" s="1" t="s">
        <v>51</v>
      </c>
      <c r="B1" s="1"/>
      <c r="C1" s="1"/>
      <c r="D1" s="1"/>
      <c r="P1" s="73" t="s">
        <v>5</v>
      </c>
      <c r="Q1" s="73" t="s">
        <v>73</v>
      </c>
      <c r="R1" s="73" t="s">
        <v>75</v>
      </c>
      <c r="S1" s="73" t="s">
        <v>77</v>
      </c>
    </row>
    <row r="2" spans="1:19" ht="15" customHeight="1" x14ac:dyDescent="0.2">
      <c r="A2" s="6" t="s">
        <v>52</v>
      </c>
      <c r="B2" s="6"/>
      <c r="C2" s="6"/>
      <c r="D2" s="6"/>
      <c r="P2" s="74">
        <v>1</v>
      </c>
      <c r="Q2" s="74">
        <v>2021</v>
      </c>
      <c r="R2" s="75">
        <v>219.44368152692806</v>
      </c>
      <c r="S2" s="75">
        <v>693.24550441059102</v>
      </c>
    </row>
    <row r="3" spans="1:19" x14ac:dyDescent="0.2">
      <c r="P3" s="74">
        <v>2</v>
      </c>
      <c r="Q3" s="74">
        <v>780</v>
      </c>
      <c r="R3" s="75">
        <v>502.18751963247763</v>
      </c>
      <c r="S3" s="75">
        <v>569.18089078741048</v>
      </c>
    </row>
    <row r="4" spans="1:19" ht="19.5" customHeight="1" x14ac:dyDescent="0.2">
      <c r="A4" s="8" t="s">
        <v>5</v>
      </c>
      <c r="B4" s="8" t="s">
        <v>53</v>
      </c>
      <c r="C4" s="8" t="s">
        <v>54</v>
      </c>
      <c r="D4" s="8" t="s">
        <v>55</v>
      </c>
      <c r="P4" s="74">
        <v>3</v>
      </c>
      <c r="Q4" s="74">
        <v>432</v>
      </c>
      <c r="R4" s="75">
        <v>766.15650120286386</v>
      </c>
      <c r="S4" s="75">
        <v>466.42379786097513</v>
      </c>
    </row>
    <row r="5" spans="1:19" ht="15" customHeight="1" x14ac:dyDescent="0.2">
      <c r="A5" s="9">
        <v>1</v>
      </c>
      <c r="B5" s="71">
        <f>Model_Calculations!I83</f>
        <v>0.43359794035614674</v>
      </c>
      <c r="C5" s="71">
        <f>Model_Calculations!E83/Model_Calculations!E152</f>
        <v>0.18140813259365601</v>
      </c>
      <c r="D5" s="71">
        <f>Model_Calculations!C83/Model_Calculations!C151</f>
        <v>4.7570149912934789E-2</v>
      </c>
      <c r="P5" s="74">
        <v>4</v>
      </c>
      <c r="Q5" s="74">
        <v>291</v>
      </c>
      <c r="R5" s="75">
        <v>876.65826218411803</v>
      </c>
      <c r="S5" s="75">
        <v>381.85111354327859</v>
      </c>
    </row>
    <row r="6" spans="1:19" ht="15" customHeight="1" x14ac:dyDescent="0.2">
      <c r="A6" s="10">
        <v>2</v>
      </c>
      <c r="B6" s="72">
        <f>Model_Calculations!I84</f>
        <v>0.167346063076593</v>
      </c>
      <c r="C6" s="72">
        <f>Model_Calculations!E84/Model_Calculations!E152</f>
        <v>0.14894296731650086</v>
      </c>
      <c r="D6" s="72">
        <f>Model_Calculations!C84/Model_Calculations!C151</f>
        <v>0.10886226218543636</v>
      </c>
      <c r="P6" s="74">
        <v>5</v>
      </c>
      <c r="Q6" s="74">
        <v>199</v>
      </c>
      <c r="R6" s="75">
        <v>802.47803935523666</v>
      </c>
      <c r="S6" s="75">
        <v>312.43308133023214</v>
      </c>
    </row>
    <row r="7" spans="1:19" ht="15" customHeight="1" x14ac:dyDescent="0.2">
      <c r="A7" s="9">
        <v>3</v>
      </c>
      <c r="B7" s="71">
        <f>Model_Calculations!I85</f>
        <v>9.2683973396266897E-2</v>
      </c>
      <c r="C7" s="71">
        <f>Model_Calculations!E85/Model_Calculations!E152</f>
        <v>0.1220535432669554</v>
      </c>
      <c r="D7" s="71">
        <f>Model_Calculations!C85/Model_Calculations!C151</f>
        <v>0.16608443389844196</v>
      </c>
      <c r="P7" s="74">
        <v>6</v>
      </c>
      <c r="Q7" s="74">
        <v>143</v>
      </c>
      <c r="R7" s="75">
        <v>612.14560586302161</v>
      </c>
      <c r="S7" s="75">
        <v>255.53650016770683</v>
      </c>
    </row>
    <row r="8" spans="1:19" ht="15" customHeight="1" x14ac:dyDescent="0.2">
      <c r="A8" s="10">
        <v>4</v>
      </c>
      <c r="B8" s="72">
        <f>Model_Calculations!I86</f>
        <v>6.2432954301652008E-2</v>
      </c>
      <c r="C8" s="72">
        <f>Model_Calculations!E86/Model_Calculations!E152</f>
        <v>9.9922606055108235E-2</v>
      </c>
      <c r="D8" s="72">
        <f>Model_Calculations!C86/Model_Calculations!C151</f>
        <v>0.19003857693389095</v>
      </c>
      <c r="P8" s="74">
        <v>7</v>
      </c>
      <c r="Q8" s="74">
        <v>119</v>
      </c>
      <c r="R8" s="75">
        <v>400.24832837453147</v>
      </c>
      <c r="S8" s="75">
        <v>208.94382138785724</v>
      </c>
    </row>
    <row r="9" spans="1:19" ht="15" customHeight="1" x14ac:dyDescent="0.2">
      <c r="A9" s="9">
        <v>5</v>
      </c>
      <c r="B9" s="71">
        <f>Model_Calculations!I87</f>
        <v>4.2694700708002575E-2</v>
      </c>
      <c r="C9" s="71">
        <f>Model_Calculations!E87/Model_Calculations!E152</f>
        <v>8.1757330532980191E-2</v>
      </c>
      <c r="D9" s="71">
        <f>Model_Calculations!C87/Model_Calculations!C151</f>
        <v>0.17395807602362995</v>
      </c>
      <c r="P9" s="74">
        <v>8</v>
      </c>
      <c r="Q9" s="74">
        <v>74</v>
      </c>
      <c r="R9" s="75">
        <v>228.98781348460307</v>
      </c>
      <c r="S9" s="75">
        <v>170.81130001197729</v>
      </c>
    </row>
    <row r="10" spans="1:19" ht="15" customHeight="1" x14ac:dyDescent="0.2">
      <c r="A10" s="10">
        <v>6</v>
      </c>
      <c r="B10" s="72">
        <f>Model_Calculations!I88</f>
        <v>3.0680111564042052E-2</v>
      </c>
      <c r="C10" s="72">
        <f>Model_Calculations!E88/Model_Calculations!E152</f>
        <v>6.6868661981955665E-2</v>
      </c>
      <c r="D10" s="72">
        <f>Model_Calculations!C88/Model_Calculations!C151</f>
        <v>0.13269854951770355</v>
      </c>
      <c r="P10" s="74">
        <v>9</v>
      </c>
      <c r="Q10" s="74">
        <v>76</v>
      </c>
      <c r="R10" s="75">
        <v>116.45085759057517</v>
      </c>
      <c r="S10" s="75">
        <v>139.61562299207097</v>
      </c>
    </row>
    <row r="11" spans="1:19" ht="15" customHeight="1" x14ac:dyDescent="0.2">
      <c r="A11" s="9">
        <v>7</v>
      </c>
      <c r="B11" s="71">
        <f>Model_Calculations!I89</f>
        <v>2.5531001930916113E-2</v>
      </c>
      <c r="C11" s="71">
        <f>Model_Calculations!E89/Model_Calculations!E152</f>
        <v>5.4676313389410723E-2</v>
      </c>
      <c r="D11" s="71">
        <f>Model_Calculations!C89/Model_Calculations!C151</f>
        <v>8.6764279794684443E-2</v>
      </c>
      <c r="P11" s="74">
        <v>10</v>
      </c>
      <c r="Q11" s="74">
        <v>51</v>
      </c>
      <c r="R11" s="75">
        <v>53.298565650713151</v>
      </c>
      <c r="S11" s="75">
        <v>114.10264600883544</v>
      </c>
    </row>
    <row r="12" spans="1:19" ht="15" customHeight="1" x14ac:dyDescent="0.2">
      <c r="A12" s="10">
        <v>8</v>
      </c>
      <c r="B12" s="72">
        <f>Model_Calculations!I90</f>
        <v>1.5876421368804978E-2</v>
      </c>
      <c r="C12" s="72">
        <f>Model_Calculations!E90/Model_Calculations!E152</f>
        <v>4.4697814502833062E-2</v>
      </c>
      <c r="D12" s="72">
        <f>Model_Calculations!C90/Model_Calculations!C151</f>
        <v>4.9639089810663034E-2</v>
      </c>
      <c r="P12" s="74">
        <v>11</v>
      </c>
      <c r="Q12" s="74">
        <v>62</v>
      </c>
      <c r="R12" s="75">
        <v>22.176635935063949</v>
      </c>
      <c r="S12" s="75">
        <v>93.242050510913558</v>
      </c>
    </row>
    <row r="13" spans="1:19" ht="15" customHeight="1" x14ac:dyDescent="0.2">
      <c r="A13" s="9">
        <v>9</v>
      </c>
      <c r="B13" s="71">
        <f>Model_Calculations!I91</f>
        <v>1.6305513838232141E-2</v>
      </c>
      <c r="C13" s="71">
        <f>Model_Calculations!E91/Model_Calculations!E152</f>
        <v>3.6534545535099126E-2</v>
      </c>
      <c r="D13" s="71">
        <f>Model_Calculations!C91/Model_Calculations!C151</f>
        <v>2.5243765117902085E-2</v>
      </c>
      <c r="P13" s="74">
        <v>12</v>
      </c>
      <c r="Q13" s="74">
        <v>38</v>
      </c>
      <c r="R13" s="75">
        <v>8.4583811485861258</v>
      </c>
      <c r="S13" s="75">
        <v>76.18858613487572</v>
      </c>
    </row>
    <row r="14" spans="1:19" ht="15" customHeight="1" x14ac:dyDescent="0.2">
      <c r="A14" s="10">
        <v>10</v>
      </c>
      <c r="B14" s="72">
        <f>Model_Calculations!I92</f>
        <v>1.094185797039262E-2</v>
      </c>
      <c r="C14" s="72">
        <f>Model_Calculations!E92/Model_Calculations!E152</f>
        <v>2.9858322635725677E-2</v>
      </c>
      <c r="D14" s="72">
        <f>Model_Calculations!C92/Model_Calculations!C151</f>
        <v>1.155385628105997E-2</v>
      </c>
      <c r="P14" s="74">
        <v>13</v>
      </c>
      <c r="Q14" s="74">
        <v>32</v>
      </c>
      <c r="R14" s="75">
        <v>2.9779453904376392</v>
      </c>
      <c r="S14" s="75">
        <v>62.249498260124163</v>
      </c>
    </row>
    <row r="15" spans="1:19" ht="15" customHeight="1" x14ac:dyDescent="0.2">
      <c r="A15" s="9">
        <v>11</v>
      </c>
      <c r="B15" s="71">
        <f>Model_Calculations!I93</f>
        <v>1.3301866552242008E-2</v>
      </c>
      <c r="C15" s="71">
        <f>Model_Calculations!E93/Model_Calculations!E152</f>
        <v>2.4399532567859178E-2</v>
      </c>
      <c r="D15" s="71">
        <f>Model_Calculations!C93/Model_Calculations!C151</f>
        <v>4.8073651000341781E-3</v>
      </c>
      <c r="P15" s="74">
        <v>14</v>
      </c>
      <c r="Q15" s="74">
        <v>25</v>
      </c>
      <c r="R15" s="75">
        <v>0.97355731471183604</v>
      </c>
      <c r="S15" s="75">
        <v>50.857409018661407</v>
      </c>
    </row>
    <row r="16" spans="1:19" ht="15" customHeight="1" x14ac:dyDescent="0.2">
      <c r="A16" s="10">
        <v>12</v>
      </c>
      <c r="B16" s="72">
        <f>Model_Calculations!I94</f>
        <v>8.1527569191160703E-3</v>
      </c>
      <c r="C16" s="72">
        <f>Model_Calculations!E94/Model_Calculations!E152</f>
        <v>1.9936990644360195E-2</v>
      </c>
      <c r="D16" s="72">
        <f>Model_Calculations!C94/Model_Calculations!C151</f>
        <v>1.8335750496858527E-3</v>
      </c>
      <c r="P16" s="74">
        <v>15</v>
      </c>
      <c r="Q16" s="74">
        <v>32</v>
      </c>
      <c r="R16" s="75">
        <v>0.29705926045551884</v>
      </c>
      <c r="S16" s="75">
        <v>41.547865289381953</v>
      </c>
    </row>
    <row r="17" spans="1:19" ht="15" customHeight="1" x14ac:dyDescent="0.2">
      <c r="A17" s="9">
        <v>13</v>
      </c>
      <c r="B17" s="71">
        <f>Model_Calculations!I95</f>
        <v>6.8654795108345846E-3</v>
      </c>
      <c r="C17" s="71">
        <f>Model_Calculations!E95/Model_Calculations!E152</f>
        <v>1.6289417186862672E-2</v>
      </c>
      <c r="D17" s="71">
        <f>Model_Calculations!C95/Model_Calculations!C151</f>
        <v>6.4554744830175597E-4</v>
      </c>
      <c r="P17" s="74">
        <v>16</v>
      </c>
      <c r="Q17" s="74">
        <v>24</v>
      </c>
      <c r="R17" s="75">
        <v>8.4975933320338759E-2</v>
      </c>
      <c r="S17" s="75">
        <v>33.940817040914048</v>
      </c>
    </row>
    <row r="18" spans="1:19" ht="15" customHeight="1" x14ac:dyDescent="0.2">
      <c r="A18" s="10">
        <v>14</v>
      </c>
      <c r="B18" s="72">
        <f>Model_Calculations!I96</f>
        <v>5.3636558678395192E-3</v>
      </c>
      <c r="C18" s="72">
        <f>Model_Calculations!E96/Model_Calculations!E152</f>
        <v>1.3308341042140882E-2</v>
      </c>
      <c r="D18" s="72">
        <f>Model_Calculations!C96/Model_Calculations!C151</f>
        <v>2.110439776047654E-4</v>
      </c>
      <c r="P18" s="74">
        <v>17</v>
      </c>
      <c r="Q18" s="74">
        <v>23</v>
      </c>
      <c r="R18" s="75">
        <v>2.2878094646727999E-2</v>
      </c>
      <c r="S18" s="75">
        <v>27.725374625019416</v>
      </c>
    </row>
    <row r="19" spans="1:19" ht="15" customHeight="1" x14ac:dyDescent="0.2">
      <c r="A19" s="9">
        <v>15</v>
      </c>
      <c r="B19" s="71">
        <f>Model_Calculations!I97</f>
        <v>6.8654795108345846E-3</v>
      </c>
      <c r="C19" s="71">
        <f>Model_Calculations!E97/Model_Calculations!E152</f>
        <v>1.0872224352623456E-2</v>
      </c>
      <c r="D19" s="71">
        <f>Model_Calculations!C97/Model_Calculations!C151</f>
        <v>6.4395353990452127E-5</v>
      </c>
      <c r="P19" s="74">
        <v>18</v>
      </c>
      <c r="Q19" s="74">
        <v>21</v>
      </c>
      <c r="R19" s="75">
        <v>5.8172828088708731E-3</v>
      </c>
      <c r="S19" s="75">
        <v>22.647285501121821</v>
      </c>
    </row>
    <row r="20" spans="1:19" ht="15" customHeight="1" x14ac:dyDescent="0.2">
      <c r="A20" s="10">
        <v>16</v>
      </c>
      <c r="B20" s="72">
        <f>Model_Calculations!I98</f>
        <v>5.1491096331259386E-3</v>
      </c>
      <c r="C20" s="72">
        <f>Model_Calculations!E98/Model_Calculations!E152</f>
        <v>8.8816158185260202E-3</v>
      </c>
      <c r="D20" s="72">
        <f>Model_Calculations!C98/Model_Calculations!C151</f>
        <v>1.8420753146834303E-5</v>
      </c>
      <c r="P20" s="74">
        <v>19</v>
      </c>
      <c r="Q20" s="74">
        <v>17</v>
      </c>
      <c r="R20" s="75">
        <v>1.4013267331569048E-3</v>
      </c>
      <c r="S20" s="75">
        <v>18.498657613404259</v>
      </c>
    </row>
    <row r="21" spans="1:19" ht="15" customHeight="1" x14ac:dyDescent="0.2">
      <c r="A21" s="9">
        <v>17</v>
      </c>
      <c r="B21" s="71">
        <f>Model_Calculations!I99</f>
        <v>4.9345633984123581E-3</v>
      </c>
      <c r="C21" s="71">
        <f>Model_Calculations!E99/Model_Calculations!E152</f>
        <v>7.2551619941056316E-3</v>
      </c>
      <c r="D21" s="71">
        <f>Model_Calculations!C99/Model_Calculations!C151</f>
        <v>4.9594245981222937E-6</v>
      </c>
      <c r="P21" s="74">
        <v>20</v>
      </c>
      <c r="Q21" s="74">
        <v>16</v>
      </c>
      <c r="R21" s="75">
        <v>3.2068765499287976E-4</v>
      </c>
      <c r="S21" s="75">
        <v>15.109533903965733</v>
      </c>
    </row>
    <row r="22" spans="1:19" ht="15" customHeight="1" x14ac:dyDescent="0.2">
      <c r="A22" s="10">
        <v>18</v>
      </c>
      <c r="B22" s="72">
        <f>Model_Calculations!I100</f>
        <v>4.5054709289851962E-3</v>
      </c>
      <c r="C22" s="72">
        <f>Model_Calculations!E100/Model_Calculations!E152</f>
        <v>5.9263302032761438E-3</v>
      </c>
      <c r="D22" s="72">
        <f>Model_Calculations!C100/Model_Calculations!C151</f>
        <v>1.2610479981852117E-6</v>
      </c>
      <c r="P22" s="74">
        <v>21</v>
      </c>
      <c r="Q22" s="74">
        <v>22</v>
      </c>
      <c r="R22" s="75">
        <v>6.9893337256087535E-5</v>
      </c>
      <c r="S22" s="75">
        <v>12.340989199650581</v>
      </c>
    </row>
    <row r="23" spans="1:19" ht="15" customHeight="1" x14ac:dyDescent="0.2">
      <c r="A23" s="9">
        <v>19</v>
      </c>
      <c r="B23" s="71">
        <f>Model_Calculations!I101</f>
        <v>3.6472859901308732E-3</v>
      </c>
      <c r="C23" s="71">
        <f>Model_Calculations!E101/Model_Calculations!E152</f>
        <v>4.840719358130202E-3</v>
      </c>
      <c r="D23" s="71">
        <f>Model_Calculations!C101/Model_Calculations!C151</f>
        <v>3.0377417253226801E-7</v>
      </c>
      <c r="P23" s="74">
        <v>22</v>
      </c>
      <c r="Q23" s="74">
        <v>8</v>
      </c>
      <c r="R23" s="75">
        <v>1.4540720521192441E-5</v>
      </c>
      <c r="S23" s="75">
        <v>10.079477375008944</v>
      </c>
    </row>
    <row r="24" spans="1:19" ht="15" customHeight="1" x14ac:dyDescent="0.2">
      <c r="A24" s="10">
        <v>20</v>
      </c>
      <c r="B24" s="72">
        <f>Model_Calculations!I102</f>
        <v>3.4327397554172923E-3</v>
      </c>
      <c r="C24" s="72">
        <f>Model_Calculations!E102/Model_Calculations!E152</f>
        <v>3.9538551818080582E-3</v>
      </c>
      <c r="D24" s="72">
        <f>Model_Calculations!C102/Model_Calculations!C151</f>
        <v>6.9517425687951881E-8</v>
      </c>
      <c r="P24" s="74">
        <v>23</v>
      </c>
      <c r="Q24" s="74">
        <v>6</v>
      </c>
      <c r="R24" s="75">
        <v>2.8935495357275294E-6</v>
      </c>
      <c r="S24" s="75">
        <v>8.2322042684970818</v>
      </c>
    </row>
    <row r="25" spans="1:19" ht="15" customHeight="1" x14ac:dyDescent="0.2">
      <c r="A25" s="9">
        <v>21</v>
      </c>
      <c r="B25" s="71">
        <f>Model_Calculations!I103</f>
        <v>4.7200171636987767E-3</v>
      </c>
      <c r="C25" s="71">
        <f>Model_Calculations!E103/Model_Calculations!E152</f>
        <v>3.2293838053382221E-3</v>
      </c>
      <c r="D25" s="71">
        <f>Model_Calculations!C103/Model_Calculations!C151</f>
        <v>1.5151206487480485E-8</v>
      </c>
      <c r="P25" s="74">
        <v>24</v>
      </c>
      <c r="Q25" s="74">
        <v>9</v>
      </c>
      <c r="R25" s="75">
        <v>5.5181374030675979E-7</v>
      </c>
      <c r="S25" s="75">
        <v>6.7233414853288282</v>
      </c>
    </row>
    <row r="26" spans="1:19" ht="15" customHeight="1" x14ac:dyDescent="0.2">
      <c r="A26" s="10">
        <v>22</v>
      </c>
      <c r="B26" s="72">
        <f>Model_Calculations!I104</f>
        <v>1.7163698777086461E-3</v>
      </c>
      <c r="C26" s="72">
        <f>Model_Calculations!E104/Model_Calculations!E152</f>
        <v>2.6375925361030637E-3</v>
      </c>
      <c r="D26" s="72">
        <f>Model_Calculations!C104/Model_Calculations!C151</f>
        <v>3.1520809814263542E-9</v>
      </c>
      <c r="P26" s="74">
        <v>25</v>
      </c>
      <c r="Q26" s="74">
        <v>13</v>
      </c>
      <c r="R26" s="75">
        <v>1.0102417954914487E-7</v>
      </c>
      <c r="S26" s="75">
        <v>5.49092911452796</v>
      </c>
    </row>
    <row r="27" spans="1:19" ht="15" customHeight="1" x14ac:dyDescent="0.2">
      <c r="A27" s="9">
        <v>23</v>
      </c>
      <c r="B27" s="71">
        <f>Model_Calculations!I105</f>
        <v>1.2872774082814847E-3</v>
      </c>
      <c r="C27" s="71">
        <f>Model_Calculations!E105/Model_Calculations!E152</f>
        <v>2.1541990448928823E-3</v>
      </c>
      <c r="D27" s="71">
        <f>Model_Calculations!C105/Model_Calculations!C151</f>
        <v>6.2725244234553524E-10</v>
      </c>
      <c r="P27" s="74">
        <v>26</v>
      </c>
      <c r="Q27" s="74">
        <v>8</v>
      </c>
      <c r="R27" s="75">
        <v>1.7783810195252815E-8</v>
      </c>
      <c r="S27" s="75">
        <v>4.484342578658489</v>
      </c>
    </row>
    <row r="28" spans="1:19" ht="15" customHeight="1" x14ac:dyDescent="0.2">
      <c r="A28" s="10">
        <v>24</v>
      </c>
      <c r="B28" s="72">
        <f>Model_Calculations!I106</f>
        <v>1.9309161124222271E-3</v>
      </c>
      <c r="C28" s="72">
        <f>Model_Calculations!E106/Model_Calculations!E152</f>
        <v>1.7593605957530777E-3</v>
      </c>
      <c r="D28" s="72">
        <f>Model_Calculations!C106/Model_Calculations!C151</f>
        <v>1.196200417699823E-10</v>
      </c>
      <c r="P28" s="74">
        <v>27</v>
      </c>
      <c r="Q28" s="74">
        <v>8</v>
      </c>
      <c r="R28" s="75">
        <v>3.0146290566745994E-9</v>
      </c>
      <c r="S28" s="75">
        <v>3.6622212550641144</v>
      </c>
    </row>
    <row r="29" spans="1:19" ht="15" customHeight="1" x14ac:dyDescent="0.2">
      <c r="A29" s="9">
        <v>25</v>
      </c>
      <c r="B29" s="71">
        <f>Model_Calculations!I107</f>
        <v>2.7891010512765503E-3</v>
      </c>
      <c r="C29" s="71">
        <f>Model_Calculations!E107/Model_Calculations!E152</f>
        <v>1.436863550550616E-3</v>
      </c>
      <c r="D29" s="71">
        <f>Model_Calculations!C107/Model_Calculations!C151</f>
        <v>2.1899629702458978E-11</v>
      </c>
      <c r="P29" s="74">
        <v>28</v>
      </c>
      <c r="Q29" s="74">
        <v>10</v>
      </c>
      <c r="R29" s="75">
        <v>4.9277501506451115E-10</v>
      </c>
      <c r="S29" s="75">
        <v>2.9907749599221303</v>
      </c>
    </row>
    <row r="30" spans="1:19" x14ac:dyDescent="0.2">
      <c r="P30" s="74">
        <v>29</v>
      </c>
      <c r="Q30" s="74">
        <v>6</v>
      </c>
      <c r="R30" s="75">
        <v>7.7772043858955945E-11</v>
      </c>
      <c r="S30" s="75">
        <v>2.4423995518946184</v>
      </c>
    </row>
    <row r="31" spans="1:19" x14ac:dyDescent="0.2">
      <c r="P31" s="74">
        <v>30</v>
      </c>
      <c r="Q31" s="74">
        <v>5</v>
      </c>
      <c r="R31" s="75">
        <v>1.1865200683995615E-11</v>
      </c>
      <c r="S31" s="75">
        <v>1.9945453626537351</v>
      </c>
    </row>
    <row r="32" spans="1:19" x14ac:dyDescent="0.2">
      <c r="P32" s="74">
        <v>31</v>
      </c>
      <c r="Q32" s="74">
        <v>8</v>
      </c>
      <c r="R32" s="75">
        <v>1.7518068681902572E-12</v>
      </c>
      <c r="S32" s="75">
        <v>1.6287923744278712</v>
      </c>
    </row>
    <row r="33" spans="16:19" x14ac:dyDescent="0.2">
      <c r="P33" s="74">
        <v>32</v>
      </c>
      <c r="Q33" s="74">
        <v>5</v>
      </c>
      <c r="R33" s="75">
        <v>2.5055846330657826E-13</v>
      </c>
      <c r="S33" s="75">
        <v>1.3300944364462424</v>
      </c>
    </row>
    <row r="34" spans="16:19" x14ac:dyDescent="0.2">
      <c r="P34" s="74">
        <v>33</v>
      </c>
      <c r="Q34" s="74">
        <v>5</v>
      </c>
      <c r="R34" s="75">
        <v>3.4751052887072185E-14</v>
      </c>
      <c r="S34" s="75">
        <v>1.0861616709236219</v>
      </c>
    </row>
    <row r="35" spans="16:19" x14ac:dyDescent="0.2">
      <c r="P35" s="74">
        <v>34</v>
      </c>
      <c r="Q35" s="74">
        <v>5</v>
      </c>
      <c r="R35" s="75">
        <v>4.6780179161244808E-15</v>
      </c>
      <c r="S35" s="75">
        <v>0.88695583595320759</v>
      </c>
    </row>
    <row r="36" spans="16:19" x14ac:dyDescent="0.2">
      <c r="P36" s="74">
        <v>35</v>
      </c>
      <c r="Q36" s="74">
        <v>3</v>
      </c>
      <c r="R36" s="75">
        <v>6.1173970150294865E-16</v>
      </c>
      <c r="S36" s="75">
        <v>0.72427801059409991</v>
      </c>
    </row>
    <row r="37" spans="16:19" x14ac:dyDescent="0.2">
      <c r="P37" s="74">
        <v>36</v>
      </c>
      <c r="Q37" s="74">
        <v>4</v>
      </c>
      <c r="R37" s="75">
        <v>7.7774458581625334E-17</v>
      </c>
      <c r="S37" s="75">
        <v>0.59143173019948436</v>
      </c>
    </row>
    <row r="38" spans="16:19" x14ac:dyDescent="0.2">
      <c r="P38" s="74">
        <v>37</v>
      </c>
      <c r="Q38" s="74">
        <v>5</v>
      </c>
      <c r="R38" s="75">
        <v>9.620731689185207E-18</v>
      </c>
      <c r="S38" s="75">
        <v>0.48294777853776388</v>
      </c>
    </row>
    <row r="39" spans="16:19" x14ac:dyDescent="0.2">
      <c r="P39" s="74">
        <v>38</v>
      </c>
      <c r="Q39" s="74">
        <v>3</v>
      </c>
      <c r="R39" s="75">
        <v>1.1587702499203245E-18</v>
      </c>
      <c r="S39" s="75">
        <v>0.39435936139316746</v>
      </c>
    </row>
    <row r="40" spans="16:19" x14ac:dyDescent="0.2">
      <c r="P40" s="74">
        <v>39</v>
      </c>
      <c r="Q40" s="74">
        <v>2</v>
      </c>
      <c r="R40" s="75">
        <v>1.3598955732813075E-19</v>
      </c>
      <c r="S40" s="75">
        <v>0.32201844571392102</v>
      </c>
    </row>
    <row r="41" spans="16:19" x14ac:dyDescent="0.2">
      <c r="P41" s="74">
        <v>41</v>
      </c>
      <c r="Q41" s="74">
        <v>4</v>
      </c>
      <c r="R41" s="75">
        <v>1.5180795634146409E-20</v>
      </c>
      <c r="S41" s="75">
        <v>0.2629438791100161</v>
      </c>
    </row>
    <row r="42" spans="16:19" x14ac:dyDescent="0.2">
      <c r="P42" s="74">
        <v>42</v>
      </c>
      <c r="Q42" s="74">
        <v>2</v>
      </c>
      <c r="R42" s="75">
        <v>1.6543144903671058E-21</v>
      </c>
      <c r="S42" s="75">
        <v>0.21470515244765304</v>
      </c>
    </row>
    <row r="43" spans="16:19" x14ac:dyDescent="0.2">
      <c r="P43" s="74">
        <v>43</v>
      </c>
      <c r="Q43" s="74">
        <v>2</v>
      </c>
      <c r="R43" s="75">
        <v>1.76085035265421E-22</v>
      </c>
      <c r="S43" s="75">
        <v>0.17531500489314561</v>
      </c>
    </row>
    <row r="44" spans="16:19" x14ac:dyDescent="0.2">
      <c r="P44" s="74">
        <v>44</v>
      </c>
      <c r="Q44" s="74">
        <v>2</v>
      </c>
      <c r="R44" s="75">
        <v>1.8316504736192125E-23</v>
      </c>
      <c r="S44" s="75">
        <v>0.14315056169103199</v>
      </c>
    </row>
    <row r="45" spans="16:19" x14ac:dyDescent="0.2">
      <c r="P45" s="74">
        <v>45</v>
      </c>
      <c r="Q45" s="74">
        <v>2</v>
      </c>
      <c r="R45" s="75">
        <v>1.862957379375845E-24</v>
      </c>
      <c r="S45" s="75">
        <v>0.1168865363068963</v>
      </c>
    </row>
    <row r="46" spans="16:19" x14ac:dyDescent="0.2">
      <c r="P46" s="74">
        <v>46</v>
      </c>
      <c r="Q46" s="74">
        <v>5</v>
      </c>
      <c r="R46" s="75">
        <v>1.8536080974517925E-25</v>
      </c>
      <c r="S46" s="75">
        <v>9.5440673913888968E-2</v>
      </c>
    </row>
    <row r="47" spans="16:19" x14ac:dyDescent="0.2">
      <c r="P47" s="74">
        <v>47</v>
      </c>
      <c r="Q47" s="74">
        <v>2</v>
      </c>
      <c r="R47" s="75">
        <v>1.8050651874969342E-26</v>
      </c>
      <c r="S47" s="75">
        <v>7.792919377267242E-2</v>
      </c>
    </row>
    <row r="48" spans="16:19" x14ac:dyDescent="0.2">
      <c r="P48" s="74">
        <v>48</v>
      </c>
      <c r="Q48" s="74">
        <v>3</v>
      </c>
      <c r="R48" s="75">
        <v>1.7211728368765687E-27</v>
      </c>
      <c r="S48" s="75">
        <v>6.3630398626555382E-2</v>
      </c>
    </row>
    <row r="49" spans="16:19" x14ac:dyDescent="0.2">
      <c r="P49" s="74">
        <v>49</v>
      </c>
      <c r="Q49" s="74">
        <v>1</v>
      </c>
      <c r="R49" s="75">
        <v>1.6076860150483537E-28</v>
      </c>
      <c r="S49" s="75">
        <v>5.1954954686488308E-2</v>
      </c>
    </row>
    <row r="50" spans="16:19" x14ac:dyDescent="0.2">
      <c r="P50" s="74">
        <v>52</v>
      </c>
      <c r="Q50" s="74">
        <v>3</v>
      </c>
      <c r="R50" s="75">
        <v>1.4150465300870781E-29</v>
      </c>
      <c r="S50" s="75">
        <v>4.2421242647321326E-2</v>
      </c>
    </row>
    <row r="51" spans="16:19" x14ac:dyDescent="0.2">
      <c r="P51" s="74">
        <v>54</v>
      </c>
      <c r="Q51" s="74">
        <v>1</v>
      </c>
      <c r="R51" s="75">
        <v>1.1993606373750521E-30</v>
      </c>
      <c r="S51" s="75">
        <v>3.4636677534998328E-2</v>
      </c>
    </row>
    <row r="52" spans="16:19" x14ac:dyDescent="0.2">
      <c r="P52" s="74">
        <v>55</v>
      </c>
      <c r="Q52" s="74">
        <v>2</v>
      </c>
      <c r="R52" s="75">
        <v>9.9806754216309344E-32</v>
      </c>
      <c r="S52" s="75">
        <v>2.8280519063803144E-2</v>
      </c>
    </row>
    <row r="53" spans="16:19" x14ac:dyDescent="0.2">
      <c r="P53" s="74">
        <v>56</v>
      </c>
      <c r="Q53" s="74">
        <v>3</v>
      </c>
      <c r="R53" s="75">
        <v>8.1572680896823465E-33</v>
      </c>
      <c r="S53" s="75">
        <v>2.3090689228839768E-2</v>
      </c>
    </row>
    <row r="54" spans="16:19" x14ac:dyDescent="0.2">
      <c r="P54" s="74">
        <v>60</v>
      </c>
      <c r="Q54" s="74">
        <v>1</v>
      </c>
      <c r="R54" s="75">
        <v>6.2225202087246464E-34</v>
      </c>
      <c r="S54" s="75">
        <v>1.8852998796065973E-2</v>
      </c>
    </row>
    <row r="55" spans="16:19" x14ac:dyDescent="0.2">
      <c r="P55" s="74">
        <v>61</v>
      </c>
      <c r="Q55" s="74">
        <v>2</v>
      </c>
      <c r="R55" s="75">
        <v>4.6688434414877154E-35</v>
      </c>
      <c r="S55" s="75">
        <v>1.5392976688163777E-2</v>
      </c>
    </row>
    <row r="56" spans="16:19" x14ac:dyDescent="0.2">
      <c r="P56" s="74">
        <v>62</v>
      </c>
      <c r="Q56" s="74">
        <v>1</v>
      </c>
      <c r="R56" s="75">
        <v>3.4465965747782714E-36</v>
      </c>
      <c r="S56" s="75">
        <v>1.2567921404511091E-2</v>
      </c>
    </row>
    <row r="57" spans="16:19" x14ac:dyDescent="0.2">
      <c r="P57" s="74">
        <v>65</v>
      </c>
      <c r="Q57" s="74">
        <v>1</v>
      </c>
      <c r="R57" s="75">
        <v>2.4268890706763111E-37</v>
      </c>
      <c r="S57" s="75">
        <v>1.0261256962590261E-2</v>
      </c>
    </row>
    <row r="58" spans="16:19" x14ac:dyDescent="0.2">
      <c r="P58" s="74">
        <v>67</v>
      </c>
      <c r="Q58" s="74">
        <v>1</v>
      </c>
      <c r="R58" s="75">
        <v>1.6578603830687076E-38</v>
      </c>
      <c r="S58" s="75">
        <v>8.3779037193006979E-3</v>
      </c>
    </row>
    <row r="59" spans="16:19" x14ac:dyDescent="0.2">
      <c r="P59" s="74">
        <v>68</v>
      </c>
      <c r="Q59" s="74">
        <v>1</v>
      </c>
      <c r="R59" s="75">
        <v>1.1158655537187406E-39</v>
      </c>
      <c r="S59" s="75">
        <v>6.8402041676318606E-3</v>
      </c>
    </row>
    <row r="60" spans="16:19" x14ac:dyDescent="0.2">
      <c r="P60" s="74">
        <v>69</v>
      </c>
      <c r="Q60" s="74">
        <v>1</v>
      </c>
      <c r="R60" s="75">
        <v>7.4017704285271548E-41</v>
      </c>
      <c r="S60" s="75">
        <v>5.5847237385851789E-3</v>
      </c>
    </row>
    <row r="61" spans="16:19" x14ac:dyDescent="0.2">
      <c r="P61" s="74">
        <v>70</v>
      </c>
      <c r="Q61" s="74">
        <v>1</v>
      </c>
      <c r="R61" s="75">
        <v>4.8396104009492068E-42</v>
      </c>
      <c r="S61" s="75">
        <v>4.5596686627386697E-3</v>
      </c>
    </row>
    <row r="62" spans="16:19" x14ac:dyDescent="0.2">
      <c r="P62" s="74">
        <v>74</v>
      </c>
      <c r="Q62" s="74">
        <v>1</v>
      </c>
      <c r="R62" s="75">
        <v>2.9933087286526331E-43</v>
      </c>
      <c r="S62" s="75">
        <v>3.7227253663421793E-3</v>
      </c>
    </row>
    <row r="63" spans="16:19" x14ac:dyDescent="0.2">
      <c r="P63" s="74">
        <v>78</v>
      </c>
      <c r="Q63" s="74">
        <v>1</v>
      </c>
      <c r="R63" s="75">
        <v>1.7564255251802082E-44</v>
      </c>
      <c r="S63" s="75">
        <v>3.0393816207200963E-3</v>
      </c>
    </row>
    <row r="64" spans="16:19" x14ac:dyDescent="0.2">
      <c r="P64" s="74">
        <v>80</v>
      </c>
      <c r="Q64" s="74">
        <v>1</v>
      </c>
      <c r="R64" s="75">
        <v>1.0048762531825087E-45</v>
      </c>
      <c r="S64" s="75">
        <v>2.4814633097148698E-3</v>
      </c>
    </row>
    <row r="65" spans="16:19" x14ac:dyDescent="0.2">
      <c r="P65" s="74">
        <v>81</v>
      </c>
      <c r="Q65" s="74">
        <v>2</v>
      </c>
      <c r="R65" s="75">
        <v>5.6780654575641997E-47</v>
      </c>
      <c r="S65" s="75">
        <v>2.0259545989210264E-3</v>
      </c>
    </row>
    <row r="66" spans="16:19" x14ac:dyDescent="0.2">
      <c r="P66" s="74">
        <v>83</v>
      </c>
      <c r="Q66" s="74">
        <v>1</v>
      </c>
      <c r="R66" s="75">
        <v>3.1310869844419622E-48</v>
      </c>
      <c r="S66" s="75">
        <v>1.6540554541056983E-3</v>
      </c>
    </row>
    <row r="67" spans="16:19" x14ac:dyDescent="0.2">
      <c r="P67" s="74">
        <v>99</v>
      </c>
      <c r="Q67" s="74">
        <v>1</v>
      </c>
      <c r="R67" s="75">
        <v>1.4475473169606467E-49</v>
      </c>
      <c r="S67" s="75">
        <v>1.3503944570855339E-3</v>
      </c>
    </row>
    <row r="68" spans="16:19" x14ac:dyDescent="0.2">
      <c r="P68" s="74">
        <v>102</v>
      </c>
      <c r="Q68" s="74">
        <v>1</v>
      </c>
      <c r="R68" s="75">
        <v>6.4953929167605779E-51</v>
      </c>
      <c r="S68" s="75">
        <v>1.1024775029195731E-3</v>
      </c>
    </row>
    <row r="69" spans="16:19" x14ac:dyDescent="0.2">
      <c r="P69" s="74">
        <v>148</v>
      </c>
      <c r="Q69" s="74">
        <v>1</v>
      </c>
      <c r="R69" s="75">
        <v>2.0087067659366304E-52</v>
      </c>
      <c r="S69" s="75">
        <v>9.0004355505813552E-4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Model_Calculations</vt:lpstr>
      <vt:lpstr>Observed_vs_Expected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Levaku, Anushka</cp:lastModifiedBy>
  <cp:revision>1</cp:revision>
  <dcterms:created xsi:type="dcterms:W3CDTF">2026-02-25T02:10:57Z</dcterms:created>
  <dcterms:modified xsi:type="dcterms:W3CDTF">2026-02-25T17:32:09Z</dcterms:modified>
  <dc:language>en-US</dc:language>
</cp:coreProperties>
</file>