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nushkaLevaku/Downloads/"/>
    </mc:Choice>
  </mc:AlternateContent>
  <xr:revisionPtr revIDLastSave="0" documentId="13_ncr:1_{86E1EE26-FA23-BF46-BEA4-D6C97B28FEB3}" xr6:coauthVersionLast="47" xr6:coauthVersionMax="47" xr10:uidLastSave="{00000000-0000-0000-0000-000000000000}"/>
  <bookViews>
    <workbookView xWindow="20980" yWindow="-21600" windowWidth="38400" windowHeight="21600" tabRatio="500" activeTab="1" xr2:uid="{00000000-000D-0000-FFFF-FFFF00000000}"/>
  </bookViews>
  <sheets>
    <sheet name="Model_Calculations" sheetId="1" r:id="rId1"/>
    <sheet name="Observed_vs_Expected" sheetId="2" r:id="rId2"/>
  </sheets>
  <definedNames>
    <definedName name="_xlchart.v1.0" hidden="1">Observed_vs_Expected!$A$5:$A$29</definedName>
    <definedName name="_xlchart.v1.1" hidden="1">Observed_vs_Expected!$B$4</definedName>
    <definedName name="_xlchart.v1.2" hidden="1">Observed_vs_Expected!$B$5:$B$29</definedName>
    <definedName name="_xlchart.v1.3" hidden="1">Observed_vs_Expected!$C$4</definedName>
    <definedName name="_xlchart.v1.4" hidden="1">Observed_vs_Expected!$C$5:$C$29</definedName>
    <definedName name="_xlchart.v1.5" hidden="1">Observed_vs_Expected!$D$4</definedName>
    <definedName name="_xlchart.v1.6" hidden="1">Observed_vs_Expected!$D$5:$D$29</definedName>
    <definedName name="solver_adj" localSheetId="0" hidden="1">Model_Calculations!$B$89:$B$90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Model_Calculations!$B$89:$B$90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Model_Calculations!$H$177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0.000001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4" i="1" l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02" i="1"/>
  <c r="B231" i="1" a="1"/>
  <c r="B231" i="1" s="1"/>
  <c r="F189" i="1"/>
  <c r="F193" i="1" s="1"/>
  <c r="F188" i="1"/>
  <c r="F9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F185" i="1"/>
  <c r="F181" i="1"/>
  <c r="B177" i="1"/>
  <c r="C86" i="1"/>
  <c r="I149" i="1" s="1"/>
  <c r="I100" i="1" l="1"/>
  <c r="B10" i="2" s="1"/>
  <c r="I103" i="1"/>
  <c r="B13" i="2" s="1"/>
  <c r="I98" i="1"/>
  <c r="B8" i="2" s="1"/>
  <c r="I95" i="1"/>
  <c r="B5" i="2" s="1"/>
  <c r="I148" i="1"/>
  <c r="I109" i="1"/>
  <c r="B19" i="2" s="1"/>
  <c r="I164" i="1"/>
  <c r="I96" i="1"/>
  <c r="B6" i="2" s="1"/>
  <c r="I167" i="1"/>
  <c r="B91" i="1"/>
  <c r="F190" i="1" s="1"/>
  <c r="E95" i="1"/>
  <c r="I116" i="1"/>
  <c r="B26" i="2" s="1"/>
  <c r="I122" i="1"/>
  <c r="I132" i="1"/>
  <c r="I135" i="1"/>
  <c r="I102" i="1"/>
  <c r="B12" i="2" s="1"/>
  <c r="I151" i="1"/>
  <c r="I165" i="1"/>
  <c r="I111" i="1"/>
  <c r="B21" i="2" s="1"/>
  <c r="I106" i="1"/>
  <c r="B16" i="2" s="1"/>
  <c r="I133" i="1"/>
  <c r="F182" i="1"/>
  <c r="I169" i="1"/>
  <c r="I161" i="1"/>
  <c r="I153" i="1"/>
  <c r="I145" i="1"/>
  <c r="I137" i="1"/>
  <c r="I129" i="1"/>
  <c r="I121" i="1"/>
  <c r="I113" i="1"/>
  <c r="B23" i="2" s="1"/>
  <c r="I105" i="1"/>
  <c r="B15" i="2" s="1"/>
  <c r="I97" i="1"/>
  <c r="B7" i="2" s="1"/>
  <c r="I130" i="1"/>
  <c r="I170" i="1"/>
  <c r="I162" i="1"/>
  <c r="I154" i="1"/>
  <c r="I146" i="1"/>
  <c r="I138" i="1"/>
  <c r="F180" i="1"/>
  <c r="I171" i="1"/>
  <c r="I163" i="1"/>
  <c r="I155" i="1"/>
  <c r="I147" i="1"/>
  <c r="I139" i="1"/>
  <c r="I131" i="1"/>
  <c r="I123" i="1"/>
  <c r="I115" i="1"/>
  <c r="B25" i="2" s="1"/>
  <c r="I107" i="1"/>
  <c r="B17" i="2" s="1"/>
  <c r="I99" i="1"/>
  <c r="B9" i="2" s="1"/>
  <c r="I174" i="1"/>
  <c r="I166" i="1"/>
  <c r="I158" i="1"/>
  <c r="I150" i="1"/>
  <c r="I142" i="1"/>
  <c r="I134" i="1"/>
  <c r="I126" i="1"/>
  <c r="I118" i="1"/>
  <c r="B28" i="2" s="1"/>
  <c r="I110" i="1"/>
  <c r="B20" i="2" s="1"/>
  <c r="F183" i="1"/>
  <c r="I168" i="1"/>
  <c r="I160" i="1"/>
  <c r="I152" i="1"/>
  <c r="I144" i="1"/>
  <c r="I136" i="1"/>
  <c r="I128" i="1"/>
  <c r="I120" i="1"/>
  <c r="I112" i="1"/>
  <c r="B22" i="2" s="1"/>
  <c r="I108" i="1"/>
  <c r="B18" i="2" s="1"/>
  <c r="I140" i="1"/>
  <c r="I172" i="1"/>
  <c r="I101" i="1"/>
  <c r="B11" i="2" s="1"/>
  <c r="I104" i="1"/>
  <c r="B14" i="2" s="1"/>
  <c r="I125" i="1"/>
  <c r="I127" i="1"/>
  <c r="I157" i="1"/>
  <c r="I159" i="1"/>
  <c r="I117" i="1"/>
  <c r="B27" i="2" s="1"/>
  <c r="I124" i="1"/>
  <c r="I156" i="1"/>
  <c r="I114" i="1"/>
  <c r="B24" i="2" s="1"/>
  <c r="I119" i="1"/>
  <c r="B29" i="2" s="1"/>
  <c r="I141" i="1"/>
  <c r="I143" i="1"/>
  <c r="I173" i="1"/>
  <c r="B232" i="1"/>
  <c r="F184" i="1" l="1"/>
  <c r="F187" i="1"/>
  <c r="F186" i="1"/>
  <c r="D91" i="1"/>
  <c r="C95" i="1" s="1"/>
  <c r="E96" i="1"/>
  <c r="F95" i="1"/>
  <c r="H95" i="1"/>
  <c r="I177" i="1"/>
  <c r="D95" i="1" l="1"/>
  <c r="G95" i="1"/>
  <c r="C96" i="1"/>
  <c r="E97" i="1"/>
  <c r="H96" i="1"/>
  <c r="F96" i="1"/>
  <c r="C203" i="1" s="1"/>
  <c r="C202" i="1"/>
  <c r="D96" i="1" l="1"/>
  <c r="G96" i="1"/>
  <c r="C97" i="1"/>
  <c r="H97" i="1"/>
  <c r="E98" i="1"/>
  <c r="F97" i="1"/>
  <c r="E202" i="1"/>
  <c r="D202" i="1"/>
  <c r="E203" i="1"/>
  <c r="D203" i="1"/>
  <c r="C204" i="1" l="1"/>
  <c r="E204" i="1" s="1"/>
  <c r="D97" i="1"/>
  <c r="G97" i="1"/>
  <c r="C98" i="1"/>
  <c r="D204" i="1"/>
  <c r="F98" i="1"/>
  <c r="C205" i="1" s="1"/>
  <c r="E99" i="1"/>
  <c r="H98" i="1"/>
  <c r="G98" i="1" l="1"/>
  <c r="D98" i="1"/>
  <c r="C99" i="1"/>
  <c r="F99" i="1"/>
  <c r="E100" i="1"/>
  <c r="H99" i="1"/>
  <c r="D205" i="1"/>
  <c r="E205" i="1"/>
  <c r="C206" i="1" l="1"/>
  <c r="D206" i="1" s="1"/>
  <c r="C100" i="1"/>
  <c r="D99" i="1"/>
  <c r="G99" i="1"/>
  <c r="H100" i="1"/>
  <c r="E101" i="1"/>
  <c r="F100" i="1"/>
  <c r="C207" i="1" s="1"/>
  <c r="E206" i="1" l="1"/>
  <c r="C101" i="1"/>
  <c r="D100" i="1"/>
  <c r="D207" i="1"/>
  <c r="E207" i="1"/>
  <c r="E102" i="1"/>
  <c r="F101" i="1"/>
  <c r="H101" i="1"/>
  <c r="C208" i="1" l="1"/>
  <c r="D208" i="1" s="1"/>
  <c r="D101" i="1"/>
  <c r="C102" i="1"/>
  <c r="E103" i="1"/>
  <c r="F102" i="1"/>
  <c r="C209" i="1" s="1"/>
  <c r="E209" i="1" s="1"/>
  <c r="H102" i="1"/>
  <c r="E208" i="1" l="1"/>
  <c r="D102" i="1"/>
  <c r="C103" i="1"/>
  <c r="D209" i="1"/>
  <c r="F103" i="1"/>
  <c r="C210" i="1" s="1"/>
  <c r="E104" i="1"/>
  <c r="H103" i="1"/>
  <c r="D103" i="1" l="1"/>
  <c r="C104" i="1"/>
  <c r="H104" i="1"/>
  <c r="E105" i="1"/>
  <c r="F104" i="1"/>
  <c r="C211" i="1" s="1"/>
  <c r="E210" i="1"/>
  <c r="D210" i="1"/>
  <c r="D104" i="1" l="1"/>
  <c r="C105" i="1"/>
  <c r="D211" i="1"/>
  <c r="E211" i="1"/>
  <c r="H105" i="1"/>
  <c r="E106" i="1"/>
  <c r="F105" i="1"/>
  <c r="C212" i="1" s="1"/>
  <c r="D105" i="1" l="1"/>
  <c r="C106" i="1"/>
  <c r="E212" i="1"/>
  <c r="D212" i="1"/>
  <c r="E107" i="1"/>
  <c r="F106" i="1"/>
  <c r="C213" i="1" s="1"/>
  <c r="D213" i="1" s="1"/>
  <c r="H106" i="1"/>
  <c r="C107" i="1" l="1"/>
  <c r="D106" i="1"/>
  <c r="E213" i="1"/>
  <c r="H107" i="1"/>
  <c r="E108" i="1"/>
  <c r="F107" i="1"/>
  <c r="C214" i="1" s="1"/>
  <c r="C108" i="1" l="1"/>
  <c r="D107" i="1"/>
  <c r="D214" i="1"/>
  <c r="E214" i="1"/>
  <c r="E109" i="1"/>
  <c r="F108" i="1"/>
  <c r="C215" i="1" s="1"/>
  <c r="E215" i="1" s="1"/>
  <c r="H108" i="1"/>
  <c r="C109" i="1" l="1"/>
  <c r="D108" i="1"/>
  <c r="D215" i="1"/>
  <c r="E110" i="1"/>
  <c r="F109" i="1"/>
  <c r="C216" i="1" s="1"/>
  <c r="H109" i="1"/>
  <c r="C110" i="1" l="1"/>
  <c r="D109" i="1"/>
  <c r="D216" i="1"/>
  <c r="E216" i="1"/>
  <c r="E111" i="1"/>
  <c r="F110" i="1"/>
  <c r="C217" i="1" s="1"/>
  <c r="H110" i="1"/>
  <c r="C111" i="1" l="1"/>
  <c r="D110" i="1"/>
  <c r="D217" i="1"/>
  <c r="E217" i="1"/>
  <c r="E112" i="1"/>
  <c r="F111" i="1"/>
  <c r="C218" i="1" s="1"/>
  <c r="H111" i="1"/>
  <c r="C112" i="1" l="1"/>
  <c r="D111" i="1"/>
  <c r="D218" i="1"/>
  <c r="E218" i="1"/>
  <c r="E113" i="1"/>
  <c r="F112" i="1"/>
  <c r="C219" i="1" s="1"/>
  <c r="H112" i="1"/>
  <c r="C113" i="1" l="1"/>
  <c r="D112" i="1"/>
  <c r="D219" i="1"/>
  <c r="E219" i="1"/>
  <c r="E114" i="1"/>
  <c r="F113" i="1"/>
  <c r="C220" i="1" s="1"/>
  <c r="H113" i="1"/>
  <c r="C114" i="1" l="1"/>
  <c r="D113" i="1"/>
  <c r="D220" i="1"/>
  <c r="E220" i="1"/>
  <c r="F114" i="1"/>
  <c r="C221" i="1" s="1"/>
  <c r="E115" i="1"/>
  <c r="H114" i="1"/>
  <c r="C115" i="1" l="1"/>
  <c r="D114" i="1"/>
  <c r="H115" i="1"/>
  <c r="E116" i="1"/>
  <c r="F115" i="1"/>
  <c r="C222" i="1" s="1"/>
  <c r="D221" i="1"/>
  <c r="E221" i="1"/>
  <c r="C116" i="1" l="1"/>
  <c r="D115" i="1"/>
  <c r="E222" i="1"/>
  <c r="D222" i="1"/>
  <c r="E117" i="1"/>
  <c r="F116" i="1"/>
  <c r="C223" i="1" s="1"/>
  <c r="H116" i="1"/>
  <c r="C117" i="1" l="1"/>
  <c r="D116" i="1"/>
  <c r="E223" i="1"/>
  <c r="D223" i="1"/>
  <c r="E118" i="1"/>
  <c r="F117" i="1"/>
  <c r="C224" i="1" s="1"/>
  <c r="H117" i="1"/>
  <c r="C118" i="1" l="1"/>
  <c r="D117" i="1"/>
  <c r="D224" i="1"/>
  <c r="E224" i="1"/>
  <c r="H118" i="1"/>
  <c r="E119" i="1"/>
  <c r="F118" i="1"/>
  <c r="C225" i="1" s="1"/>
  <c r="C119" i="1" l="1"/>
  <c r="D118" i="1"/>
  <c r="D225" i="1"/>
  <c r="E225" i="1"/>
  <c r="E120" i="1"/>
  <c r="F119" i="1"/>
  <c r="C226" i="1" s="1"/>
  <c r="H119" i="1"/>
  <c r="C120" i="1" l="1"/>
  <c r="D119" i="1"/>
  <c r="H120" i="1"/>
  <c r="E121" i="1"/>
  <c r="F120" i="1"/>
  <c r="C227" i="1" s="1"/>
  <c r="D226" i="1"/>
  <c r="E226" i="1"/>
  <c r="C121" i="1" l="1"/>
  <c r="D120" i="1"/>
  <c r="E227" i="1"/>
  <c r="D227" i="1"/>
  <c r="E122" i="1"/>
  <c r="F121" i="1"/>
  <c r="C228" i="1" s="1"/>
  <c r="H121" i="1"/>
  <c r="C122" i="1" l="1"/>
  <c r="D121" i="1"/>
  <c r="E123" i="1"/>
  <c r="F122" i="1"/>
  <c r="C229" i="1" s="1"/>
  <c r="H122" i="1"/>
  <c r="E228" i="1"/>
  <c r="D228" i="1"/>
  <c r="C123" i="1" l="1"/>
  <c r="D122" i="1"/>
  <c r="D229" i="1"/>
  <c r="E229" i="1"/>
  <c r="E124" i="1"/>
  <c r="F123" i="1"/>
  <c r="C230" i="1" s="1"/>
  <c r="H123" i="1"/>
  <c r="C124" i="1" l="1"/>
  <c r="D123" i="1"/>
  <c r="D230" i="1"/>
  <c r="E230" i="1"/>
  <c r="E125" i="1"/>
  <c r="F124" i="1"/>
  <c r="H124" i="1"/>
  <c r="C125" i="1" l="1"/>
  <c r="D124" i="1"/>
  <c r="H125" i="1"/>
  <c r="E126" i="1"/>
  <c r="F125" i="1"/>
  <c r="C126" i="1" l="1"/>
  <c r="D125" i="1"/>
  <c r="H126" i="1"/>
  <c r="E127" i="1"/>
  <c r="F126" i="1"/>
  <c r="C127" i="1" l="1"/>
  <c r="D126" i="1"/>
  <c r="H127" i="1"/>
  <c r="E128" i="1"/>
  <c r="F127" i="1"/>
  <c r="C128" i="1" l="1"/>
  <c r="D127" i="1"/>
  <c r="E129" i="1"/>
  <c r="F128" i="1"/>
  <c r="H128" i="1"/>
  <c r="C129" i="1" l="1"/>
  <c r="D128" i="1"/>
  <c r="F129" i="1"/>
  <c r="H129" i="1"/>
  <c r="E130" i="1"/>
  <c r="C130" i="1" l="1"/>
  <c r="D129" i="1"/>
  <c r="E131" i="1"/>
  <c r="H130" i="1"/>
  <c r="F130" i="1"/>
  <c r="C131" i="1" l="1"/>
  <c r="D130" i="1"/>
  <c r="E132" i="1"/>
  <c r="F131" i="1"/>
  <c r="H131" i="1"/>
  <c r="C132" i="1" l="1"/>
  <c r="D131" i="1"/>
  <c r="E133" i="1"/>
  <c r="F132" i="1"/>
  <c r="H132" i="1"/>
  <c r="C133" i="1" l="1"/>
  <c r="D132" i="1"/>
  <c r="E134" i="1"/>
  <c r="F133" i="1"/>
  <c r="H133" i="1"/>
  <c r="C134" i="1" l="1"/>
  <c r="D133" i="1"/>
  <c r="E135" i="1"/>
  <c r="H134" i="1"/>
  <c r="F134" i="1"/>
  <c r="C135" i="1" l="1"/>
  <c r="D134" i="1"/>
  <c r="E136" i="1"/>
  <c r="F135" i="1"/>
  <c r="H135" i="1"/>
  <c r="C136" i="1" l="1"/>
  <c r="D135" i="1"/>
  <c r="E137" i="1"/>
  <c r="F136" i="1"/>
  <c r="H136" i="1"/>
  <c r="C137" i="1" l="1"/>
  <c r="D136" i="1"/>
  <c r="E138" i="1"/>
  <c r="F137" i="1"/>
  <c r="H137" i="1"/>
  <c r="C138" i="1" l="1"/>
  <c r="D137" i="1"/>
  <c r="E139" i="1"/>
  <c r="H138" i="1"/>
  <c r="F138" i="1"/>
  <c r="C139" i="1" l="1"/>
  <c r="D138" i="1"/>
  <c r="E140" i="1"/>
  <c r="F139" i="1"/>
  <c r="H139" i="1"/>
  <c r="C140" i="1" l="1"/>
  <c r="D139" i="1"/>
  <c r="E141" i="1"/>
  <c r="F140" i="1"/>
  <c r="H140" i="1"/>
  <c r="C141" i="1" l="1"/>
  <c r="D140" i="1"/>
  <c r="E142" i="1"/>
  <c r="F141" i="1"/>
  <c r="H141" i="1"/>
  <c r="C142" i="1" l="1"/>
  <c r="D141" i="1"/>
  <c r="E143" i="1"/>
  <c r="F142" i="1"/>
  <c r="H142" i="1"/>
  <c r="C143" i="1" l="1"/>
  <c r="D142" i="1"/>
  <c r="E144" i="1"/>
  <c r="F143" i="1"/>
  <c r="H143" i="1"/>
  <c r="C144" i="1" l="1"/>
  <c r="D143" i="1"/>
  <c r="E145" i="1"/>
  <c r="F144" i="1"/>
  <c r="H144" i="1"/>
  <c r="C145" i="1" l="1"/>
  <c r="D144" i="1"/>
  <c r="E146" i="1"/>
  <c r="F145" i="1"/>
  <c r="H145" i="1"/>
  <c r="C146" i="1" l="1"/>
  <c r="D145" i="1"/>
  <c r="E147" i="1"/>
  <c r="F146" i="1"/>
  <c r="H146" i="1"/>
  <c r="C147" i="1" l="1"/>
  <c r="D146" i="1"/>
  <c r="F147" i="1"/>
  <c r="H147" i="1"/>
  <c r="E148" i="1"/>
  <c r="C148" i="1" l="1"/>
  <c r="D147" i="1"/>
  <c r="E149" i="1"/>
  <c r="F148" i="1"/>
  <c r="H148" i="1"/>
  <c r="C149" i="1" l="1"/>
  <c r="D148" i="1"/>
  <c r="E150" i="1"/>
  <c r="H149" i="1"/>
  <c r="F149" i="1"/>
  <c r="C150" i="1" l="1"/>
  <c r="D149" i="1"/>
  <c r="F150" i="1"/>
  <c r="H150" i="1"/>
  <c r="E151" i="1"/>
  <c r="C151" i="1" l="1"/>
  <c r="D150" i="1"/>
  <c r="E152" i="1"/>
  <c r="H151" i="1"/>
  <c r="F151" i="1"/>
  <c r="C152" i="1" l="1"/>
  <c r="D151" i="1"/>
  <c r="E153" i="1"/>
  <c r="F152" i="1"/>
  <c r="H152" i="1"/>
  <c r="C153" i="1" l="1"/>
  <c r="D152" i="1"/>
  <c r="E154" i="1"/>
  <c r="H153" i="1"/>
  <c r="F153" i="1"/>
  <c r="C154" i="1" l="1"/>
  <c r="D153" i="1"/>
  <c r="F154" i="1"/>
  <c r="E155" i="1"/>
  <c r="H154" i="1"/>
  <c r="C155" i="1" l="1"/>
  <c r="D154" i="1"/>
  <c r="H155" i="1"/>
  <c r="F155" i="1"/>
  <c r="E156" i="1"/>
  <c r="C156" i="1" l="1"/>
  <c r="D155" i="1"/>
  <c r="E157" i="1"/>
  <c r="F156" i="1"/>
  <c r="H156" i="1"/>
  <c r="C157" i="1" l="1"/>
  <c r="D156" i="1"/>
  <c r="F157" i="1"/>
  <c r="E158" i="1"/>
  <c r="H157" i="1"/>
  <c r="C158" i="1" l="1"/>
  <c r="D157" i="1"/>
  <c r="E159" i="1"/>
  <c r="F158" i="1"/>
  <c r="H158" i="1"/>
  <c r="C159" i="1" l="1"/>
  <c r="D158" i="1"/>
  <c r="E160" i="1"/>
  <c r="F159" i="1"/>
  <c r="H159" i="1"/>
  <c r="C160" i="1" l="1"/>
  <c r="D159" i="1"/>
  <c r="E161" i="1"/>
  <c r="F160" i="1"/>
  <c r="H160" i="1"/>
  <c r="C161" i="1" l="1"/>
  <c r="D160" i="1"/>
  <c r="F161" i="1"/>
  <c r="H161" i="1"/>
  <c r="E162" i="1"/>
  <c r="C162" i="1" l="1"/>
  <c r="D161" i="1"/>
  <c r="F162" i="1"/>
  <c r="H162" i="1"/>
  <c r="E163" i="1"/>
  <c r="C163" i="1" l="1"/>
  <c r="D162" i="1"/>
  <c r="E164" i="1"/>
  <c r="F163" i="1"/>
  <c r="H163" i="1"/>
  <c r="C164" i="1" l="1"/>
  <c r="D163" i="1"/>
  <c r="F164" i="1"/>
  <c r="H164" i="1"/>
  <c r="E165" i="1"/>
  <c r="C165" i="1" l="1"/>
  <c r="D164" i="1"/>
  <c r="E166" i="1"/>
  <c r="F165" i="1"/>
  <c r="H165" i="1"/>
  <c r="C166" i="1" l="1"/>
  <c r="D165" i="1"/>
  <c r="E167" i="1"/>
  <c r="F166" i="1"/>
  <c r="H166" i="1"/>
  <c r="C167" i="1" l="1"/>
  <c r="D166" i="1"/>
  <c r="E168" i="1"/>
  <c r="F167" i="1"/>
  <c r="H167" i="1"/>
  <c r="C168" i="1" l="1"/>
  <c r="D167" i="1"/>
  <c r="E169" i="1"/>
  <c r="F168" i="1"/>
  <c r="H168" i="1"/>
  <c r="C169" i="1" l="1"/>
  <c r="D168" i="1"/>
  <c r="F169" i="1"/>
  <c r="H169" i="1"/>
  <c r="E170" i="1"/>
  <c r="C170" i="1" l="1"/>
  <c r="D169" i="1"/>
  <c r="E171" i="1"/>
  <c r="F170" i="1"/>
  <c r="H170" i="1"/>
  <c r="C171" i="1" l="1"/>
  <c r="D170" i="1"/>
  <c r="E172" i="1"/>
  <c r="F171" i="1"/>
  <c r="H171" i="1"/>
  <c r="C172" i="1" l="1"/>
  <c r="D171" i="1"/>
  <c r="E173" i="1"/>
  <c r="F172" i="1"/>
  <c r="H172" i="1"/>
  <c r="C173" i="1" l="1"/>
  <c r="D172" i="1"/>
  <c r="E174" i="1"/>
  <c r="F173" i="1"/>
  <c r="H173" i="1"/>
  <c r="C174" i="1" l="1"/>
  <c r="D174" i="1" s="1"/>
  <c r="D173" i="1"/>
  <c r="F174" i="1"/>
  <c r="C231" i="1" s="1" a="1"/>
  <c r="C231" i="1" s="1"/>
  <c r="C232" i="1" s="1"/>
  <c r="E176" i="1"/>
  <c r="H174" i="1"/>
  <c r="H177" i="1" s="1"/>
  <c r="E177" i="1"/>
  <c r="F192" i="1" l="1"/>
  <c r="C10" i="2"/>
  <c r="C18" i="2"/>
  <c r="C26" i="2"/>
  <c r="C11" i="2"/>
  <c r="C19" i="2"/>
  <c r="C27" i="2"/>
  <c r="C12" i="2"/>
  <c r="C20" i="2"/>
  <c r="C28" i="2"/>
  <c r="C6" i="2"/>
  <c r="C13" i="2"/>
  <c r="C21" i="2"/>
  <c r="C29" i="2"/>
  <c r="C8" i="2"/>
  <c r="C14" i="2"/>
  <c r="C22" i="2"/>
  <c r="C5" i="2"/>
  <c r="C7" i="2"/>
  <c r="C16" i="2"/>
  <c r="C24" i="2"/>
  <c r="C9" i="2"/>
  <c r="C17" i="2"/>
  <c r="C25" i="2"/>
  <c r="C15" i="2"/>
  <c r="C23" i="2"/>
  <c r="F177" i="1"/>
  <c r="E231" i="1" l="1"/>
  <c r="E232" i="1" s="1"/>
  <c r="D231" i="1"/>
  <c r="G100" i="1" l="1"/>
  <c r="G101" i="1"/>
  <c r="C177" i="1"/>
  <c r="G129" i="1"/>
  <c r="G121" i="1"/>
  <c r="G162" i="1"/>
  <c r="G142" i="1"/>
  <c r="G141" i="1"/>
  <c r="G154" i="1"/>
  <c r="G123" i="1"/>
  <c r="G134" i="1"/>
  <c r="G136" i="1"/>
  <c r="G156" i="1"/>
  <c r="G167" i="1"/>
  <c r="G127" i="1"/>
  <c r="G174" i="1"/>
  <c r="G166" i="1"/>
  <c r="G169" i="1"/>
  <c r="G126" i="1"/>
  <c r="G128" i="1"/>
  <c r="G143" i="1"/>
  <c r="G148" i="1"/>
  <c r="G161" i="1"/>
  <c r="G171" i="1"/>
  <c r="G135" i="1"/>
  <c r="G138" i="1"/>
  <c r="G165" i="1"/>
  <c r="G155" i="1"/>
  <c r="G164" i="1"/>
  <c r="G146" i="1"/>
  <c r="G120" i="1"/>
  <c r="G172" i="1"/>
  <c r="G163" i="1"/>
  <c r="G157" i="1"/>
  <c r="G130" i="1"/>
  <c r="G124" i="1"/>
  <c r="G153" i="1"/>
  <c r="G159" i="1"/>
  <c r="G145" i="1"/>
  <c r="G140" i="1"/>
  <c r="G168" i="1"/>
  <c r="G137" i="1"/>
  <c r="G147" i="1"/>
  <c r="G158" i="1"/>
  <c r="G160" i="1"/>
  <c r="G122" i="1"/>
  <c r="G151" i="1"/>
  <c r="G170" i="1"/>
  <c r="G139" i="1"/>
  <c r="G150" i="1"/>
  <c r="G152" i="1"/>
  <c r="G132" i="1"/>
  <c r="G131" i="1"/>
  <c r="G144" i="1"/>
  <c r="G149" i="1"/>
  <c r="G125" i="1"/>
  <c r="G173" i="1"/>
  <c r="G133" i="1"/>
  <c r="G116" i="1"/>
  <c r="G109" i="1"/>
  <c r="G117" i="1"/>
  <c r="G103" i="1"/>
  <c r="G113" i="1"/>
  <c r="G110" i="1"/>
  <c r="G111" i="1"/>
  <c r="G112" i="1"/>
  <c r="G104" i="1"/>
  <c r="G115" i="1"/>
  <c r="D25" i="2"/>
  <c r="G108" i="1"/>
  <c r="G114" i="1"/>
  <c r="G107" i="1"/>
  <c r="G105" i="1"/>
  <c r="G102" i="1"/>
  <c r="G106" i="1"/>
  <c r="G118" i="1"/>
  <c r="G119" i="1"/>
  <c r="C175" i="1"/>
  <c r="D19" i="2" s="1"/>
  <c r="D29" i="2" l="1"/>
  <c r="D11" i="2"/>
  <c r="D6" i="2"/>
  <c r="D23" i="2"/>
  <c r="D13" i="2"/>
  <c r="D14" i="2"/>
  <c r="D16" i="2"/>
  <c r="D15" i="2"/>
  <c r="D28" i="2"/>
  <c r="D24" i="2"/>
  <c r="D21" i="2"/>
  <c r="G177" i="1"/>
  <c r="F191" i="1" s="1"/>
  <c r="D12" i="2"/>
  <c r="D26" i="2"/>
  <c r="D8" i="2"/>
  <c r="D5" i="2"/>
  <c r="D20" i="2"/>
  <c r="D9" i="2"/>
  <c r="D7" i="2"/>
  <c r="D17" i="2"/>
  <c r="D18" i="2"/>
  <c r="D27" i="2"/>
  <c r="D22" i="2"/>
  <c r="D10" i="2"/>
  <c r="F194" i="1" l="1"/>
  <c r="F195" i="1"/>
  <c r="F197" i="1"/>
  <c r="D1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<sst xmlns="http://schemas.openxmlformats.org/spreadsheetml/2006/main" count="98" uniqueCount="89">
  <si>
    <t>NBD Model — Packers vs Cowboys</t>
  </si>
  <si>
    <t>SECTION A — Raw Histogram Data  (full tail, from histogram CSV)</t>
  </si>
  <si>
    <t>Row</t>
  </si>
  <si>
    <t>x
(# comments)</t>
  </si>
  <si>
    <t>TOTAL</t>
  </si>
  <si>
    <t>x</t>
  </si>
  <si>
    <t>NBD
Expected (E)</t>
  </si>
  <si>
    <t>Unique Users  (x ≥ 1 — lurkers excluded)</t>
  </si>
  <si>
    <t>Total Comments  =SUMPRODUCT(x, nₓ)</t>
  </si>
  <si>
    <t>Mean Comments / User  (= Total / N)</t>
  </si>
  <si>
    <t>Variance / Mean  (&gt;1 confirms overdispersion)</t>
  </si>
  <si>
    <t>Max Comments  (single user)</t>
  </si>
  <si>
    <t>LL Improvement  (NBD LL − Poisson LL)</t>
  </si>
  <si>
    <t>LRT Statistic  = 2 × LL Improvement</t>
  </si>
  <si>
    <t>LRT df = 1  (NBD has 2 params, Poisson has 1 — difference = 1)</t>
  </si>
  <si>
    <t>LRT p-value  =CHIDIST(LRT statistic, df=1)</t>
  </si>
  <si>
    <t>Top 5% Users — share of comments  (top 5% of users by comment volume, share of total comments)</t>
  </si>
  <si>
    <t>Bin
(x range)</t>
  </si>
  <si>
    <t>Actual
(O)</t>
  </si>
  <si>
    <t>O − E</t>
  </si>
  <si>
    <t>(O−E)²/E
(χ² comp.)</t>
  </si>
  <si>
    <t>E ≥ 5?
(check)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</si>
  <si>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</si>
  <si>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</si>
  <si>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</si>
  <si>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</si>
  <si>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</si>
  <si>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</si>
  <si>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</si>
  <si>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</si>
  <si>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</si>
  <si>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</si>
  <si>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</si>
  <si>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</si>
  <si>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</si>
  <si>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</si>
  <si>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</si>
  <si>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</si>
  <si>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</si>
  <si>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</si>
  <si>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</si>
  <si>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</si>
  <si>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</si>
  <si>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</si>
  <si>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</si>
  <si>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</si>
  <si>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</si>
  <si>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</si>
  <si>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</si>
  <si>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</si>
  <si>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</si>
  <si>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Degrees of Freedom  (bins − 1 − 2 MLE params)</t>
  </si>
  <si>
    <t>χ² p-value</t>
  </si>
  <si>
    <t>Observed vs Expected — Packers vs Cowboys</t>
  </si>
  <si>
    <t>Left-truncated at x=1. Proportions conditional on x≥1. Bars = Observed; Line = NBD Expected.</t>
  </si>
  <si>
    <t>Observed Proportion</t>
  </si>
  <si>
    <t>NBD Expected Proportion</t>
  </si>
  <si>
    <t>Poisson Expected Proportion</t>
  </si>
  <si>
    <t>Left-truncated at x=1: lurkers (x=0) are unobserved. All statistics are conditional on participation.</t>
  </si>
  <si>
    <t>Actual Count
(n_x)</t>
  </si>
  <si>
    <t>r</t>
  </si>
  <si>
    <t>SECTION B — Solver Inputs + λ</t>
  </si>
  <si>
    <t>α</t>
  </si>
  <si>
    <t>Poisson PMF (No Observed Zeroes)</t>
  </si>
  <si>
    <t>NBD PMF (No Observed Zeroes)</t>
  </si>
  <si>
    <t>λ</t>
  </si>
  <si>
    <t>Variance</t>
  </si>
  <si>
    <t>MoM  r = mean² / (variance − mean)  × (mean / variance)</t>
  </si>
  <si>
    <t>MoM  α = mean / (variance − mean)</t>
  </si>
  <si>
    <t>MLE  r  ← SOLVER INPUT (yellow cell in Section B)</t>
  </si>
  <si>
    <t>MLE  α  ← SOLVER INPUT (yellow cell in Section B)</t>
  </si>
  <si>
    <t>Poisson  λ</t>
  </si>
  <si>
    <t>Poisson LL</t>
  </si>
  <si>
    <t>NBD LL</t>
  </si>
  <si>
    <t>NBD Mean = r/α</t>
  </si>
  <si>
    <t>SECTION E — χ² Goodness of Fit, Binned for Chi-Square Only</t>
  </si>
  <si>
    <t>SUM PMF (Poisson)</t>
  </si>
  <si>
    <t>SUM PMF (NBD)</t>
  </si>
  <si>
    <t>Note: Poisson is nested within NBD, therefore LRT is valid</t>
  </si>
  <si>
    <t>computed using python script</t>
  </si>
  <si>
    <t>30+</t>
  </si>
  <si>
    <t>SECTION C — Full Histogram with Model Probabilities</t>
  </si>
  <si>
    <t>SECTION D — Summary Statistics</t>
  </si>
  <si>
    <t>Actual
Count (n_x)</t>
  </si>
  <si>
    <t>Poisson 
PMF P(X=x|λ)</t>
  </si>
  <si>
    <t>Poisson 
Expected</t>
  </si>
  <si>
    <t>NBD 
PMF P(X=x|r,α)</t>
  </si>
  <si>
    <t>NBD 
Expected</t>
  </si>
  <si>
    <t>Actual 
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</si>
</sst>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72" formatCode="0.000%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7F3F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7F7F7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BDD7EF"/>
        <bgColor rgb="FFF2F2F2"/>
      </patternFill>
    </fill>
    <fill>
      <patternFill patternType="solid">
        <fgColor rgb="FFE2F0DB"/>
        <bgColor rgb="FFF2F2F2"/>
      </patternFill>
    </fill>
    <fill>
      <patternFill patternType="solid">
        <fgColor rgb="FFFFF3CC"/>
        <bgColor rgb="FFF2F2F2"/>
      </patternFill>
    </fill>
    <fill>
      <patternFill patternType="solid">
        <fgColor rgb="FFE2F0DB"/>
        <bgColor indexed="64"/>
      </patternFill>
    </fill>
    <fill>
      <patternFill patternType="solid">
        <fgColor rgb="FFBDD7E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3" fillId="4" borderId="1" xfId="0" applyNumberFormat="1" applyFont="1" applyFill="1" applyBorder="1" applyAlignment="1">
      <alignment horizontal="left" vertical="center" indent="1"/>
    </xf>
    <xf numFmtId="2" fontId="4" fillId="5" borderId="2" xfId="0" applyNumberFormat="1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left" vertical="center"/>
    </xf>
    <xf numFmtId="2" fontId="6" fillId="8" borderId="2" xfId="0" applyNumberFormat="1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vertical="center"/>
    </xf>
    <xf numFmtId="2" fontId="0" fillId="0" borderId="0" xfId="0" applyNumberFormat="1" applyFill="1"/>
    <xf numFmtId="2" fontId="1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2" fontId="0" fillId="0" borderId="0" xfId="0" applyNumberFormat="1" applyFill="1" applyBorder="1"/>
    <xf numFmtId="2" fontId="3" fillId="0" borderId="0" xfId="0" applyNumberFormat="1" applyFont="1" applyFill="1" applyBorder="1" applyAlignment="1">
      <alignment vertical="center"/>
    </xf>
    <xf numFmtId="2" fontId="1" fillId="0" borderId="3" xfId="0" applyNumberFormat="1" applyFont="1" applyFill="1" applyBorder="1" applyAlignment="1">
      <alignment vertical="center"/>
    </xf>
    <xf numFmtId="2" fontId="2" fillId="0" borderId="3" xfId="0" applyNumberFormat="1" applyFont="1" applyFill="1" applyBorder="1" applyAlignment="1">
      <alignment vertical="center"/>
    </xf>
    <xf numFmtId="2" fontId="0" fillId="0" borderId="3" xfId="0" applyNumberFormat="1" applyFill="1" applyBorder="1"/>
    <xf numFmtId="2" fontId="3" fillId="0" borderId="3" xfId="0" applyNumberFormat="1" applyFont="1" applyFill="1" applyBorder="1" applyAlignment="1">
      <alignment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2" fontId="5" fillId="5" borderId="1" xfId="0" applyNumberFormat="1" applyFont="1" applyFill="1" applyBorder="1" applyAlignment="1">
      <alignment horizontal="left" vertical="center"/>
    </xf>
    <xf numFmtId="2" fontId="5" fillId="5" borderId="4" xfId="0" applyNumberFormat="1" applyFont="1" applyFill="1" applyBorder="1" applyAlignment="1">
      <alignment horizontal="left" vertical="center"/>
    </xf>
    <xf numFmtId="2" fontId="5" fillId="5" borderId="5" xfId="0" applyNumberFormat="1" applyFont="1" applyFill="1" applyBorder="1" applyAlignment="1">
      <alignment horizontal="left" vertical="center"/>
    </xf>
    <xf numFmtId="2" fontId="5" fillId="0" borderId="1" xfId="0" applyNumberFormat="1" applyFont="1" applyFill="1" applyBorder="1" applyAlignment="1">
      <alignment horizontal="left" vertical="center"/>
    </xf>
    <xf numFmtId="2" fontId="5" fillId="0" borderId="4" xfId="0" applyNumberFormat="1" applyFont="1" applyFill="1" applyBorder="1" applyAlignment="1">
      <alignment horizontal="left" vertical="center"/>
    </xf>
    <xf numFmtId="165" fontId="5" fillId="10" borderId="2" xfId="0" applyNumberFormat="1" applyFont="1" applyFill="1" applyBorder="1" applyAlignment="1">
      <alignment horizontal="center" vertical="center"/>
    </xf>
    <xf numFmtId="165" fontId="5" fillId="11" borderId="2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8" borderId="4" xfId="0" applyNumberFormat="1" applyFont="1" applyFill="1" applyBorder="1" applyAlignment="1">
      <alignment horizontal="center" vertical="center"/>
    </xf>
    <xf numFmtId="165" fontId="5" fillId="8" borderId="5" xfId="0" applyNumberFormat="1" applyFon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/>
    </xf>
    <xf numFmtId="165" fontId="0" fillId="12" borderId="4" xfId="0" applyNumberFormat="1" applyFill="1" applyBorder="1" applyAlignment="1">
      <alignment horizontal="center"/>
    </xf>
    <xf numFmtId="165" fontId="0" fillId="12" borderId="5" xfId="0" applyNumberForma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left" vertical="center"/>
    </xf>
    <xf numFmtId="2" fontId="5" fillId="3" borderId="4" xfId="0" applyNumberFormat="1" applyFont="1" applyFill="1" applyBorder="1" applyAlignment="1">
      <alignment horizontal="left" vertical="center"/>
    </xf>
    <xf numFmtId="2" fontId="5" fillId="3" borderId="5" xfId="0" applyNumberFormat="1" applyFont="1" applyFill="1" applyBorder="1" applyAlignment="1">
      <alignment horizontal="left" vertical="center"/>
    </xf>
    <xf numFmtId="2" fontId="5" fillId="9" borderId="1" xfId="0" applyNumberFormat="1" applyFont="1" applyFill="1" applyBorder="1" applyAlignment="1">
      <alignment horizontal="left" vertical="center"/>
    </xf>
    <xf numFmtId="2" fontId="5" fillId="9" borderId="4" xfId="0" applyNumberFormat="1" applyFont="1" applyFill="1" applyBorder="1" applyAlignment="1">
      <alignment horizontal="left" vertical="center"/>
    </xf>
    <xf numFmtId="2" fontId="5" fillId="9" borderId="5" xfId="0" applyNumberFormat="1" applyFont="1" applyFill="1" applyBorder="1" applyAlignment="1">
      <alignment horizontal="left" vertical="center"/>
    </xf>
    <xf numFmtId="172" fontId="5" fillId="6" borderId="2" xfId="0" applyNumberFormat="1" applyFont="1" applyFill="1" applyBorder="1" applyAlignment="1">
      <alignment horizontal="center" vertical="center"/>
    </xf>
    <xf numFmtId="172" fontId="5" fillId="7" borderId="2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12" borderId="1" xfId="0" applyNumberFormat="1" applyFill="1" applyBorder="1" applyAlignment="1">
      <alignment horizontal="center"/>
    </xf>
    <xf numFmtId="10" fontId="0" fillId="12" borderId="4" xfId="0" applyNumberFormat="1" applyFill="1" applyBorder="1" applyAlignment="1">
      <alignment horizontal="center"/>
    </xf>
    <xf numFmtId="10" fontId="0" fillId="12" borderId="5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F"/>
      <color rgb="FFE2F0DB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Observed vs NBD Expected — Packers vs Cowboys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Observed_vs_Expected!$B$4</c:f>
              <c:strCache>
                <c:ptCount val="1"/>
                <c:pt idx="0">
                  <c:v>Observed Proportion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Observed_vs_Expected!$B$5:$B$29</c:f>
              <c:numCache>
                <c:formatCode>0.000%</c:formatCode>
                <c:ptCount val="25"/>
                <c:pt idx="0">
                  <c:v>0.40576156910818267</c:v>
                </c:pt>
                <c:pt idx="1">
                  <c:v>0.16610481152313822</c:v>
                </c:pt>
                <c:pt idx="2">
                  <c:v>9.4544897333741953E-2</c:v>
                </c:pt>
                <c:pt idx="3">
                  <c:v>6.6043518234753296E-2</c:v>
                </c:pt>
                <c:pt idx="4">
                  <c:v>4.3518234753294513E-2</c:v>
                </c:pt>
                <c:pt idx="5">
                  <c:v>3.3251608948820101E-2</c:v>
                </c:pt>
                <c:pt idx="6">
                  <c:v>2.6815813668403309E-2</c:v>
                </c:pt>
                <c:pt idx="7">
                  <c:v>1.8081520073551946E-2</c:v>
                </c:pt>
                <c:pt idx="8">
                  <c:v>1.8847686178363469E-2</c:v>
                </c:pt>
                <c:pt idx="9">
                  <c:v>1.4403922770456636E-2</c:v>
                </c:pt>
                <c:pt idx="10">
                  <c:v>1.3790989886607416E-2</c:v>
                </c:pt>
                <c:pt idx="11">
                  <c:v>9.9601593625498006E-3</c:v>
                </c:pt>
                <c:pt idx="12">
                  <c:v>9.040760036775973E-3</c:v>
                </c:pt>
                <c:pt idx="13">
                  <c:v>6.895494943303708E-3</c:v>
                </c:pt>
                <c:pt idx="14">
                  <c:v>7.2019613852283178E-3</c:v>
                </c:pt>
                <c:pt idx="15">
                  <c:v>6.4357952804167942E-3</c:v>
                </c:pt>
                <c:pt idx="16">
                  <c:v>4.5969966288691389E-3</c:v>
                </c:pt>
                <c:pt idx="17">
                  <c:v>2.1452650934722646E-3</c:v>
                </c:pt>
                <c:pt idx="18">
                  <c:v>4.2905301869445292E-3</c:v>
                </c:pt>
                <c:pt idx="19">
                  <c:v>4.1372969659822251E-3</c:v>
                </c:pt>
                <c:pt idx="20">
                  <c:v>3.2178976402083971E-3</c:v>
                </c:pt>
                <c:pt idx="21">
                  <c:v>2.7581979773214833E-3</c:v>
                </c:pt>
                <c:pt idx="22">
                  <c:v>1.5323322096230463E-3</c:v>
                </c:pt>
                <c:pt idx="23">
                  <c:v>2.6049647563591788E-3</c:v>
                </c:pt>
                <c:pt idx="24">
                  <c:v>3.0646644192460926E-3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0-8944-A3C7-FDB60042030B}"/>
            </c:ext>
          </c:extLst>
        </c:ser>
        <c:ser>
          <c:idx val="1"/>
          <c:order val="1"/>
          <c:tx>
            <c:strRef>
              <c:f>Observed_vs_Expected!$C$4</c:f>
              <c:strCache>
                <c:ptCount val="1"/>
                <c:pt idx="0">
                  <c:v>NBD Expected Proportion</c:v>
                </c:pt>
              </c:strCache>
            </c:strRef>
          </c:tx>
          <c:spPr>
            <a:ln w="20160">
              <a:solidFill>
                <a:srgbClr val="ED7D31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Observed_vs_Expected!$C$5:$C$29</c:f>
              <c:numCache>
                <c:formatCode>0.000%</c:formatCode>
                <c:ptCount val="25"/>
                <c:pt idx="0">
                  <c:v>0.17108814231870489</c:v>
                </c:pt>
                <c:pt idx="1">
                  <c:v>0.14124532561474903</c:v>
                </c:pt>
                <c:pt idx="2">
                  <c:v>0.11690232848476663</c:v>
                </c:pt>
                <c:pt idx="3">
                  <c:v>9.6876548558606904E-2</c:v>
                </c:pt>
                <c:pt idx="4">
                  <c:v>8.0341821779074202E-2</c:v>
                </c:pt>
                <c:pt idx="5">
                  <c:v>6.6662700572221942E-2</c:v>
                </c:pt>
                <c:pt idx="6">
                  <c:v>5.5332453666844722E-2</c:v>
                </c:pt>
                <c:pt idx="7">
                  <c:v>4.5940293576469143E-2</c:v>
                </c:pt>
                <c:pt idx="8">
                  <c:v>3.8150341951199027E-2</c:v>
                </c:pt>
                <c:pt idx="9">
                  <c:v>3.1686608315462696E-2</c:v>
                </c:pt>
                <c:pt idx="10">
                  <c:v>2.6321613586725821E-2</c:v>
                </c:pt>
                <c:pt idx="11">
                  <c:v>2.186748233605779E-2</c:v>
                </c:pt>
                <c:pt idx="12">
                  <c:v>1.8168829856857378E-2</c:v>
                </c:pt>
                <c:pt idx="13">
                  <c:v>1.5097013423845191E-2</c:v>
                </c:pt>
                <c:pt idx="14">
                  <c:v>1.2545449996998345E-2</c:v>
                </c:pt>
                <c:pt idx="15">
                  <c:v>1.0425782821495982E-2</c:v>
                </c:pt>
                <c:pt idx="16">
                  <c:v>8.6647318497113743E-3</c:v>
                </c:pt>
                <c:pt idx="17">
                  <c:v>7.2014994633026394E-3</c:v>
                </c:pt>
                <c:pt idx="18">
                  <c:v>5.9856296530157831E-3</c:v>
                </c:pt>
                <c:pt idx="19">
                  <c:v>4.975238963770009E-3</c:v>
                </c:pt>
                <c:pt idx="20">
                  <c:v>4.1355531104107493E-3</c:v>
                </c:pt>
                <c:pt idx="21">
                  <c:v>3.4376954592700371E-3</c:v>
                </c:pt>
                <c:pt idx="22">
                  <c:v>2.8576833784950502E-3</c:v>
                </c:pt>
                <c:pt idx="23">
                  <c:v>2.3755963603444711E-3</c:v>
                </c:pt>
                <c:pt idx="24">
                  <c:v>1.9748862260010936E-3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0-8944-A3C7-FDB60042030B}"/>
            </c:ext>
          </c:extLst>
        </c:ser>
        <c:ser>
          <c:idx val="2"/>
          <c:order val="2"/>
          <c:tx>
            <c:strRef>
              <c:f>Observed_vs_Expected!$D$4</c:f>
              <c:strCache>
                <c:ptCount val="1"/>
                <c:pt idx="0">
                  <c:v>Poisson Expected Proportion</c:v>
                </c:pt>
              </c:strCache>
            </c:strRef>
          </c:tx>
          <c:spPr>
            <a:ln w="15120">
              <a:solidFill>
                <a:srgbClr val="70AD47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Observed_vs_Expected!$D$5:$D$29</c:f>
              <c:numCache>
                <c:formatCode>0.000%</c:formatCode>
                <c:ptCount val="25"/>
                <c:pt idx="0">
                  <c:v>3.5350932163492887E-2</c:v>
                </c:pt>
                <c:pt idx="1">
                  <c:v>8.7469993427827367E-2</c:v>
                </c:pt>
                <c:pt idx="2">
                  <c:v>0.14428661956030672</c:v>
                </c:pt>
                <c:pt idx="3">
                  <c:v>0.17850660353586062</c:v>
                </c:pt>
                <c:pt idx="4">
                  <c:v>0.1766739430337303</c:v>
                </c:pt>
                <c:pt idx="5">
                  <c:v>0.1457167481426683</c:v>
                </c:pt>
                <c:pt idx="6">
                  <c:v>0.10301480629717334</c:v>
                </c:pt>
                <c:pt idx="7">
                  <c:v>6.3723244892874911E-2</c:v>
                </c:pt>
                <c:pt idx="8">
                  <c:v>3.5038345656951596E-2</c:v>
                </c:pt>
                <c:pt idx="9">
                  <c:v>1.7339310036641922E-2</c:v>
                </c:pt>
                <c:pt idx="10">
                  <c:v>7.8005881039945246E-3</c:v>
                </c:pt>
                <c:pt idx="11">
                  <c:v>3.2168759936983243E-3</c:v>
                </c:pt>
                <c:pt idx="12">
                  <c:v>1.224557512158318E-3</c:v>
                </c:pt>
                <c:pt idx="13">
                  <c:v>4.3285194228747515E-4</c:v>
                </c:pt>
                <c:pt idx="14">
                  <c:v>1.4280267112242324E-4</c:v>
                </c:pt>
                <c:pt idx="15">
                  <c:v>4.4167677979415589E-5</c:v>
                </c:pt>
                <c:pt idx="16">
                  <c:v>1.2857124987337768E-5</c:v>
                </c:pt>
                <c:pt idx="17">
                  <c:v>3.5347571378253928E-6</c:v>
                </c:pt>
                <c:pt idx="18">
                  <c:v>9.2064923920569604E-7</c:v>
                </c:pt>
                <c:pt idx="19">
                  <c:v>2.2779931949239932E-7</c:v>
                </c:pt>
                <c:pt idx="20">
                  <c:v>5.3681092647775466E-8</c:v>
                </c:pt>
                <c:pt idx="21">
                  <c:v>1.2074992944723962E-8</c:v>
                </c:pt>
                <c:pt idx="22">
                  <c:v>2.5980485892540893E-9</c:v>
                </c:pt>
                <c:pt idx="23">
                  <c:v>5.3570320761799482E-10</c:v>
                </c:pt>
                <c:pt idx="24">
                  <c:v>1.0604066864862484E-10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0-8944-A3C7-FDB60042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08840"/>
        <c:axId val="35950072"/>
      </c:barChart>
      <c:catAx>
        <c:axId val="23608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Comments per User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50072"/>
        <c:crosses val="autoZero"/>
        <c:auto val="1"/>
        <c:lblAlgn val="ctr"/>
        <c:lblOffset val="100"/>
        <c:noMultiLvlLbl val="0"/>
      </c:catAx>
      <c:valAx>
        <c:axId val="35950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Proportion of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08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Observed vs Expected Poisson &amp; NBD - Packers Cowboys</a:t>
            </a:r>
          </a:p>
        </c:rich>
      </c:tx>
      <c:layout>
        <c:manualLayout>
          <c:xMode val="edge"/>
          <c:yMode val="edge"/>
          <c:x val="0.13116796262635549"/>
          <c:y val="4.3478260869565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947068950913577E-2"/>
          <c:y val="0.10914054600606672"/>
          <c:w val="0.96830049158445286"/>
          <c:h val="0.85579301449806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Observed_vs_Expected!$P$2:$P$81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61</c:v>
                </c:pt>
                <c:pt idx="59">
                  <c:v>62</c:v>
                </c:pt>
                <c:pt idx="60">
                  <c:v>64</c:v>
                </c:pt>
                <c:pt idx="61">
                  <c:v>66</c:v>
                </c:pt>
                <c:pt idx="62">
                  <c:v>67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74</c:v>
                </c:pt>
                <c:pt idx="67">
                  <c:v>76</c:v>
                </c:pt>
                <c:pt idx="68">
                  <c:v>82</c:v>
                </c:pt>
                <c:pt idx="69">
                  <c:v>83</c:v>
                </c:pt>
                <c:pt idx="70">
                  <c:v>85</c:v>
                </c:pt>
                <c:pt idx="71">
                  <c:v>90</c:v>
                </c:pt>
                <c:pt idx="72">
                  <c:v>104</c:v>
                </c:pt>
                <c:pt idx="73">
                  <c:v>108</c:v>
                </c:pt>
                <c:pt idx="74">
                  <c:v>112</c:v>
                </c:pt>
                <c:pt idx="75">
                  <c:v>113</c:v>
                </c:pt>
                <c:pt idx="76">
                  <c:v>121</c:v>
                </c:pt>
                <c:pt idx="77">
                  <c:v>127</c:v>
                </c:pt>
                <c:pt idx="78">
                  <c:v>141</c:v>
                </c:pt>
                <c:pt idx="79">
                  <c:v>156</c:v>
                </c:pt>
              </c:numCache>
            </c:numRef>
          </c:cat>
          <c:val>
            <c:numRef>
              <c:f>Observed_vs_Expected!$Q$2:$Q$81</c:f>
              <c:numCache>
                <c:formatCode>General</c:formatCode>
                <c:ptCount val="80"/>
                <c:pt idx="0">
                  <c:v>2648</c:v>
                </c:pt>
                <c:pt idx="1">
                  <c:v>1084</c:v>
                </c:pt>
                <c:pt idx="2">
                  <c:v>617</c:v>
                </c:pt>
                <c:pt idx="3">
                  <c:v>431</c:v>
                </c:pt>
                <c:pt idx="4">
                  <c:v>284</c:v>
                </c:pt>
                <c:pt idx="5">
                  <c:v>217</c:v>
                </c:pt>
                <c:pt idx="6">
                  <c:v>175</c:v>
                </c:pt>
                <c:pt idx="7">
                  <c:v>118</c:v>
                </c:pt>
                <c:pt idx="8">
                  <c:v>123</c:v>
                </c:pt>
                <c:pt idx="9">
                  <c:v>94</c:v>
                </c:pt>
                <c:pt idx="10">
                  <c:v>90</c:v>
                </c:pt>
                <c:pt idx="11">
                  <c:v>65</c:v>
                </c:pt>
                <c:pt idx="12">
                  <c:v>59</c:v>
                </c:pt>
                <c:pt idx="13">
                  <c:v>45</c:v>
                </c:pt>
                <c:pt idx="14">
                  <c:v>47</c:v>
                </c:pt>
                <c:pt idx="15">
                  <c:v>42</c:v>
                </c:pt>
                <c:pt idx="16">
                  <c:v>30</c:v>
                </c:pt>
                <c:pt idx="17">
                  <c:v>14</c:v>
                </c:pt>
                <c:pt idx="18">
                  <c:v>28</c:v>
                </c:pt>
                <c:pt idx="19">
                  <c:v>27</c:v>
                </c:pt>
                <c:pt idx="20">
                  <c:v>21</c:v>
                </c:pt>
                <c:pt idx="21">
                  <c:v>18</c:v>
                </c:pt>
                <c:pt idx="22">
                  <c:v>10</c:v>
                </c:pt>
                <c:pt idx="23">
                  <c:v>17</c:v>
                </c:pt>
                <c:pt idx="24">
                  <c:v>20</c:v>
                </c:pt>
                <c:pt idx="25">
                  <c:v>21</c:v>
                </c:pt>
                <c:pt idx="26">
                  <c:v>4</c:v>
                </c:pt>
                <c:pt idx="27">
                  <c:v>17</c:v>
                </c:pt>
                <c:pt idx="28">
                  <c:v>9</c:v>
                </c:pt>
                <c:pt idx="29">
                  <c:v>17</c:v>
                </c:pt>
                <c:pt idx="30">
                  <c:v>8</c:v>
                </c:pt>
                <c:pt idx="31">
                  <c:v>5</c:v>
                </c:pt>
                <c:pt idx="32">
                  <c:v>10</c:v>
                </c:pt>
                <c:pt idx="33">
                  <c:v>6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7</c:v>
                </c:pt>
                <c:pt idx="39">
                  <c:v>5</c:v>
                </c:pt>
                <c:pt idx="40">
                  <c:v>2</c:v>
                </c:pt>
                <c:pt idx="41">
                  <c:v>8</c:v>
                </c:pt>
                <c:pt idx="42">
                  <c:v>1</c:v>
                </c:pt>
                <c:pt idx="43">
                  <c:v>4</c:v>
                </c:pt>
                <c:pt idx="44">
                  <c:v>7</c:v>
                </c:pt>
                <c:pt idx="45">
                  <c:v>2</c:v>
                </c:pt>
                <c:pt idx="46">
                  <c:v>4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0-2E4E-98F9-BF5D7D282407}"/>
            </c:ext>
          </c:extLst>
        </c:ser>
        <c:ser>
          <c:idx val="1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Observed_vs_Expected!$P$2:$P$81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61</c:v>
                </c:pt>
                <c:pt idx="59">
                  <c:v>62</c:v>
                </c:pt>
                <c:pt idx="60">
                  <c:v>64</c:v>
                </c:pt>
                <c:pt idx="61">
                  <c:v>66</c:v>
                </c:pt>
                <c:pt idx="62">
                  <c:v>67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74</c:v>
                </c:pt>
                <c:pt idx="67">
                  <c:v>76</c:v>
                </c:pt>
                <c:pt idx="68">
                  <c:v>82</c:v>
                </c:pt>
                <c:pt idx="69">
                  <c:v>83</c:v>
                </c:pt>
                <c:pt idx="70">
                  <c:v>85</c:v>
                </c:pt>
                <c:pt idx="71">
                  <c:v>90</c:v>
                </c:pt>
                <c:pt idx="72">
                  <c:v>104</c:v>
                </c:pt>
                <c:pt idx="73">
                  <c:v>108</c:v>
                </c:pt>
                <c:pt idx="74">
                  <c:v>112</c:v>
                </c:pt>
                <c:pt idx="75">
                  <c:v>113</c:v>
                </c:pt>
                <c:pt idx="76">
                  <c:v>121</c:v>
                </c:pt>
                <c:pt idx="77">
                  <c:v>127</c:v>
                </c:pt>
                <c:pt idx="78">
                  <c:v>141</c:v>
                </c:pt>
                <c:pt idx="79">
                  <c:v>156</c:v>
                </c:pt>
              </c:numCache>
            </c:numRef>
          </c:cat>
          <c:val>
            <c:numRef>
              <c:f>Observed_vs_Expected!$R$2:$R$81</c:f>
              <c:numCache>
                <c:formatCode>0.000</c:formatCode>
                <c:ptCount val="80"/>
                <c:pt idx="0">
                  <c:v>229.06385958342398</c:v>
                </c:pt>
                <c:pt idx="1">
                  <c:v>566.78036662938075</c:v>
                </c:pt>
                <c:pt idx="2">
                  <c:v>934.93574115312356</c:v>
                </c:pt>
                <c:pt idx="3">
                  <c:v>1156.6713821843443</c:v>
                </c:pt>
                <c:pt idx="4">
                  <c:v>1144.7962699247137</c:v>
                </c:pt>
                <c:pt idx="5">
                  <c:v>944.20256249919873</c:v>
                </c:pt>
                <c:pt idx="6">
                  <c:v>667.50627721885257</c:v>
                </c:pt>
                <c:pt idx="7">
                  <c:v>412.90827503031807</c:v>
                </c:pt>
                <c:pt idx="8">
                  <c:v>227.03838904389488</c:v>
                </c:pt>
                <c:pt idx="9">
                  <c:v>112.35373543016526</c:v>
                </c:pt>
                <c:pt idx="10">
                  <c:v>50.545564395804021</c:v>
                </c:pt>
                <c:pt idx="11">
                  <c:v>20.844430000031807</c:v>
                </c:pt>
                <c:pt idx="12">
                  <c:v>7.9347800142745841</c:v>
                </c:pt>
                <c:pt idx="13">
                  <c:v>2.8047559275097163</c:v>
                </c:pt>
                <c:pt idx="14">
                  <c:v>0.92532018264303084</c:v>
                </c:pt>
                <c:pt idx="15">
                  <c:v>0.28619383330578341</c:v>
                </c:pt>
                <c:pt idx="16">
                  <c:v>8.3310467150495532E-2</c:v>
                </c:pt>
                <c:pt idx="17">
                  <c:v>2.290420826629596E-2</c:v>
                </c:pt>
                <c:pt idx="18">
                  <c:v>5.9655419291258296E-3</c:v>
                </c:pt>
                <c:pt idx="19">
                  <c:v>1.4760739856046483E-3</c:v>
                </c:pt>
                <c:pt idx="20">
                  <c:v>3.4783802055588718E-4</c:v>
                </c:pt>
                <c:pt idx="21">
                  <c:v>7.8242476763243373E-5</c:v>
                </c:pt>
                <c:pt idx="22">
                  <c:v>1.6834606637456491E-5</c:v>
                </c:pt>
                <c:pt idx="23">
                  <c:v>3.4712025063633762E-6</c:v>
                </c:pt>
                <c:pt idx="24">
                  <c:v>6.8711299382779786E-7</c:v>
                </c:pt>
                <c:pt idx="25">
                  <c:v>1.3078051189130303E-7</c:v>
                </c:pt>
                <c:pt idx="26">
                  <c:v>2.3969969872814336E-8</c:v>
                </c:pt>
                <c:pt idx="27">
                  <c:v>4.236406993140291E-9</c:v>
                </c:pt>
                <c:pt idx="28">
                  <c:v>7.2291610134245873E-10</c:v>
                </c:pt>
                <c:pt idx="29">
                  <c:v>1.1924903204032437E-10</c:v>
                </c:pt>
                <c:pt idx="30">
                  <c:v>1.9036249492067835E-11</c:v>
                </c:pt>
                <c:pt idx="31">
                  <c:v>2.9438767877831498E-12</c:v>
                </c:pt>
                <c:pt idx="32">
                  <c:v>4.4146259187704575E-13</c:v>
                </c:pt>
                <c:pt idx="33">
                  <c:v>6.425445009405452E-14</c:v>
                </c:pt>
                <c:pt idx="34">
                  <c:v>9.0849676712380835E-15</c:v>
                </c:pt>
                <c:pt idx="35">
                  <c:v>1.2488466260710745E-15</c:v>
                </c:pt>
                <c:pt idx="36">
                  <c:v>1.670304304154084E-16</c:v>
                </c:pt>
                <c:pt idx="37">
                  <c:v>2.1752051511628045E-17</c:v>
                </c:pt>
                <c:pt idx="38">
                  <c:v>2.7600937613177574E-18</c:v>
                </c:pt>
                <c:pt idx="39">
                  <c:v>3.4146961393563052E-19</c:v>
                </c:pt>
                <c:pt idx="40">
                  <c:v>4.1215106486067688E-20</c:v>
                </c:pt>
                <c:pt idx="41">
                  <c:v>4.8561864774147216E-21</c:v>
                </c:pt>
                <c:pt idx="42">
                  <c:v>5.5887556139701824E-22</c:v>
                </c:pt>
                <c:pt idx="43">
                  <c:v>6.285656762919199E-23</c:v>
                </c:pt>
                <c:pt idx="44">
                  <c:v>6.9123603077766026E-24</c:v>
                </c:pt>
                <c:pt idx="45">
                  <c:v>7.4362974902945211E-25</c:v>
                </c:pt>
                <c:pt idx="46">
                  <c:v>7.8297359644584215E-26</c:v>
                </c:pt>
                <c:pt idx="47">
                  <c:v>8.0722406199619702E-27</c:v>
                </c:pt>
                <c:pt idx="48">
                  <c:v>8.1524142307276946E-28</c:v>
                </c:pt>
                <c:pt idx="49">
                  <c:v>8.0687164444177413E-29</c:v>
                </c:pt>
                <c:pt idx="50">
                  <c:v>7.8292921097651912E-30</c:v>
                </c:pt>
                <c:pt idx="51">
                  <c:v>7.4508766320772197E-31</c:v>
                </c:pt>
                <c:pt idx="52">
                  <c:v>6.9569634620569631E-32</c:v>
                </c:pt>
                <c:pt idx="53">
                  <c:v>6.375499001348725E-33</c:v>
                </c:pt>
                <c:pt idx="54">
                  <c:v>5.7364037625318888E-34</c:v>
                </c:pt>
                <c:pt idx="55">
                  <c:v>5.0692055818201746E-35</c:v>
                </c:pt>
                <c:pt idx="56">
                  <c:v>4.4010192499874333E-36</c:v>
                </c:pt>
                <c:pt idx="57">
                  <c:v>3.7550307174047614E-37</c:v>
                </c:pt>
                <c:pt idx="58">
                  <c:v>3.0462944443810322E-38</c:v>
                </c:pt>
                <c:pt idx="59">
                  <c:v>2.4314671606696152E-39</c:v>
                </c:pt>
                <c:pt idx="60">
                  <c:v>1.8800814040430876E-40</c:v>
                </c:pt>
                <c:pt idx="61">
                  <c:v>1.4096812968074443E-41</c:v>
                </c:pt>
                <c:pt idx="62">
                  <c:v>1.0412004674847432E-42</c:v>
                </c:pt>
                <c:pt idx="63">
                  <c:v>7.3607917992688107E-44</c:v>
                </c:pt>
                <c:pt idx="64">
                  <c:v>5.1304375381979404E-45</c:v>
                </c:pt>
                <c:pt idx="65">
                  <c:v>3.5262258720694675E-46</c:v>
                </c:pt>
                <c:pt idx="66">
                  <c:v>2.3581239395532931E-47</c:v>
                </c:pt>
                <c:pt idx="67">
                  <c:v>1.5354697128061362E-48</c:v>
                </c:pt>
                <c:pt idx="68">
                  <c:v>9.2664976818942167E-50</c:v>
                </c:pt>
                <c:pt idx="69">
                  <c:v>5.5249168781181806E-51</c:v>
                </c:pt>
                <c:pt idx="70">
                  <c:v>3.2165850728998334E-52</c:v>
                </c:pt>
                <c:pt idx="71">
                  <c:v>1.768645331993396E-53</c:v>
                </c:pt>
                <c:pt idx="72">
                  <c:v>8.4158043855239866E-55</c:v>
                </c:pt>
                <c:pt idx="73">
                  <c:v>3.8562048477102583E-56</c:v>
                </c:pt>
                <c:pt idx="74">
                  <c:v>1.7038458194256326E-57</c:v>
                </c:pt>
                <c:pt idx="75">
                  <c:v>7.4617392565003166E-59</c:v>
                </c:pt>
                <c:pt idx="76">
                  <c:v>3.0517075916129212E-60</c:v>
                </c:pt>
                <c:pt idx="77">
                  <c:v>1.1891247447658102E-61</c:v>
                </c:pt>
                <c:pt idx="78">
                  <c:v>4.1734625743846045E-63</c:v>
                </c:pt>
                <c:pt idx="79">
                  <c:v>1.3239151268668012E-64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0-2E4E-98F9-BF5D7D282407}"/>
            </c:ext>
          </c:extLst>
        </c:ser>
        <c:ser>
          <c:idx val="2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Observed_vs_Expected!$P$2:$P$81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61</c:v>
                </c:pt>
                <c:pt idx="59">
                  <c:v>62</c:v>
                </c:pt>
                <c:pt idx="60">
                  <c:v>64</c:v>
                </c:pt>
                <c:pt idx="61">
                  <c:v>66</c:v>
                </c:pt>
                <c:pt idx="62">
                  <c:v>67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74</c:v>
                </c:pt>
                <c:pt idx="67">
                  <c:v>76</c:v>
                </c:pt>
                <c:pt idx="68">
                  <c:v>82</c:v>
                </c:pt>
                <c:pt idx="69">
                  <c:v>83</c:v>
                </c:pt>
                <c:pt idx="70">
                  <c:v>85</c:v>
                </c:pt>
                <c:pt idx="71">
                  <c:v>90</c:v>
                </c:pt>
                <c:pt idx="72">
                  <c:v>104</c:v>
                </c:pt>
                <c:pt idx="73">
                  <c:v>108</c:v>
                </c:pt>
                <c:pt idx="74">
                  <c:v>112</c:v>
                </c:pt>
                <c:pt idx="75">
                  <c:v>113</c:v>
                </c:pt>
                <c:pt idx="76">
                  <c:v>121</c:v>
                </c:pt>
                <c:pt idx="77">
                  <c:v>127</c:v>
                </c:pt>
                <c:pt idx="78">
                  <c:v>141</c:v>
                </c:pt>
                <c:pt idx="79">
                  <c:v>156</c:v>
                </c:pt>
              </c:numCache>
            </c:numRef>
          </c:cat>
          <c:val>
            <c:numRef>
              <c:f>Observed_vs_Expected!$S$2:$S$81</c:f>
              <c:numCache>
                <c:formatCode>0.000</c:formatCode>
                <c:ptCount val="80"/>
                <c:pt idx="0">
                  <c:v>923.6470914019169</c:v>
                </c:pt>
                <c:pt idx="1">
                  <c:v>762.53580411876646</c:v>
                </c:pt>
                <c:pt idx="2">
                  <c:v>631.11618502424517</c:v>
                </c:pt>
                <c:pt idx="3">
                  <c:v>523.00376337320893</c:v>
                </c:pt>
                <c:pt idx="4">
                  <c:v>433.73835847687513</c:v>
                </c:pt>
                <c:pt idx="5">
                  <c:v>359.88940352062025</c:v>
                </c:pt>
                <c:pt idx="6">
                  <c:v>298.72122753141207</c:v>
                </c:pt>
                <c:pt idx="7">
                  <c:v>248.01612762275442</c:v>
                </c:pt>
                <c:pt idx="8">
                  <c:v>205.96081003423834</c:v>
                </c:pt>
                <c:pt idx="9">
                  <c:v>171.06529541041809</c:v>
                </c:pt>
                <c:pt idx="10">
                  <c:v>142.10150102101193</c:v>
                </c:pt>
                <c:pt idx="11">
                  <c:v>118.05515088449448</c:v>
                </c:pt>
                <c:pt idx="12">
                  <c:v>98.087375454703903</c:v>
                </c:pt>
                <c:pt idx="13">
                  <c:v>81.503676109912305</c:v>
                </c:pt>
                <c:pt idx="14">
                  <c:v>67.728647017922825</c:v>
                </c:pt>
                <c:pt idx="15">
                  <c:v>56.285279903994976</c:v>
                </c:pt>
                <c:pt idx="16">
                  <c:v>46.777960543022886</c:v>
                </c:pt>
                <c:pt idx="17">
                  <c:v>38.878463129380357</c:v>
                </c:pt>
                <c:pt idx="18">
                  <c:v>32.31439271178909</c:v>
                </c:pt>
                <c:pt idx="19">
                  <c:v>26.859634663373445</c:v>
                </c:pt>
                <c:pt idx="20">
                  <c:v>22.326454364402927</c:v>
                </c:pt>
                <c:pt idx="21">
                  <c:v>18.558956623455039</c:v>
                </c:pt>
                <c:pt idx="22">
                  <c:v>15.427667311844925</c:v>
                </c:pt>
                <c:pt idx="23">
                  <c:v>12.825042336889409</c:v>
                </c:pt>
                <c:pt idx="24">
                  <c:v>10.661743670684487</c:v>
                </c:pt>
                <c:pt idx="25">
                  <c:v>8.8635503488396683</c:v>
                </c:pt>
                <c:pt idx="26">
                  <c:v>7.3687954281734926</c:v>
                </c:pt>
                <c:pt idx="27">
                  <c:v>6.1262388300836745</c:v>
                </c:pt>
                <c:pt idx="28">
                  <c:v>5.0933015741909244</c:v>
                </c:pt>
                <c:pt idx="29">
                  <c:v>4.2345997438427929</c:v>
                </c:pt>
                <c:pt idx="30">
                  <c:v>3.520727118358677</c:v>
                </c:pt>
                <c:pt idx="31">
                  <c:v>2.9272441585649269</c:v>
                </c:pt>
                <c:pt idx="32">
                  <c:v>2.4338382690110714</c:v>
                </c:pt>
                <c:pt idx="33">
                  <c:v>2.023626248971766</c:v>
                </c:pt>
                <c:pt idx="34">
                  <c:v>1.6825748032623393</c:v>
                </c:pt>
                <c:pt idx="35">
                  <c:v>1.3990190922300108</c:v>
                </c:pt>
                <c:pt idx="36">
                  <c:v>1.1632627054055094</c:v>
                </c:pt>
                <c:pt idx="37">
                  <c:v>0.96724526661558419</c:v>
                </c:pt>
                <c:pt idx="38">
                  <c:v>0.80426622000883985</c:v>
                </c:pt>
                <c:pt idx="39">
                  <c:v>0.66875528913124649</c:v>
                </c:pt>
                <c:pt idx="40">
                  <c:v>0.55608171325426226</c:v>
                </c:pt>
                <c:pt idx="41">
                  <c:v>0.46239570314463108</c:v>
                </c:pt>
                <c:pt idx="42">
                  <c:v>0.38449666916547831</c:v>
                </c:pt>
                <c:pt idx="43">
                  <c:v>0.31972369676580636</c:v>
                </c:pt>
                <c:pt idx="44">
                  <c:v>0.26586451015694362</c:v>
                </c:pt>
                <c:pt idx="45">
                  <c:v>0.22107980090161417</c:v>
                </c:pt>
                <c:pt idx="46">
                  <c:v>0.18384032631841496</c:v>
                </c:pt>
                <c:pt idx="47">
                  <c:v>0.15287462133107527</c:v>
                </c:pt>
                <c:pt idx="48">
                  <c:v>0.12712553184874331</c:v>
                </c:pt>
                <c:pt idx="49">
                  <c:v>0.10571408054721326</c:v>
                </c:pt>
                <c:pt idx="50">
                  <c:v>8.7909427485650712E-2</c:v>
                </c:pt>
                <c:pt idx="51">
                  <c:v>7.3103897016709829E-2</c:v>
                </c:pt>
                <c:pt idx="52">
                  <c:v>6.079221613419343E-2</c:v>
                </c:pt>
                <c:pt idx="53">
                  <c:v>5.0554253733343581E-2</c:v>
                </c:pt>
                <c:pt idx="54">
                  <c:v>4.2040670201806796E-2</c:v>
                </c:pt>
                <c:pt idx="55">
                  <c:v>3.4960986439691602E-2</c:v>
                </c:pt>
                <c:pt idx="56">
                  <c:v>2.9073664251432877E-2</c:v>
                </c:pt>
                <c:pt idx="57">
                  <c:v>2.4177858906660028E-2</c:v>
                </c:pt>
                <c:pt idx="58">
                  <c:v>2.010672989696936E-2</c:v>
                </c:pt>
                <c:pt idx="59">
                  <c:v>1.6721174358614387E-2</c:v>
                </c:pt>
                <c:pt idx="60">
                  <c:v>1.3905781410900122E-2</c:v>
                </c:pt>
                <c:pt idx="61">
                  <c:v>1.1564506721666168E-2</c:v>
                </c:pt>
                <c:pt idx="62">
                  <c:v>9.6174581268265464E-3</c:v>
                </c:pt>
                <c:pt idx="63">
                  <c:v>7.9982996783498888E-3</c:v>
                </c:pt>
                <c:pt idx="64">
                  <c:v>6.6517566731456434E-3</c:v>
                </c:pt>
                <c:pt idx="65">
                  <c:v>5.5319253780462688E-3</c:v>
                </c:pt>
                <c:pt idx="66">
                  <c:v>4.6006450031598383E-3</c:v>
                </c:pt>
                <c:pt idx="67">
                  <c:v>3.8261628939018767E-3</c:v>
                </c:pt>
                <c:pt idx="68">
                  <c:v>3.1821047679760298E-3</c:v>
                </c:pt>
                <c:pt idx="69">
                  <c:v>2.6464668137100261E-3</c:v>
                </c:pt>
                <c:pt idx="70">
                  <c:v>2.2010012107512044E-3</c:v>
                </c:pt>
                <c:pt idx="71">
                  <c:v>1.8305364375850812E-3</c:v>
                </c:pt>
                <c:pt idx="72">
                  <c:v>1.5224612258724524E-3</c:v>
                </c:pt>
                <c:pt idx="73">
                  <c:v>1.2662411666367283E-3</c:v>
                </c:pt>
                <c:pt idx="74">
                  <c:v>1.053146468411385E-3</c:v>
                </c:pt>
                <c:pt idx="75">
                  <c:v>8.7591434448619965E-4</c:v>
                </c:pt>
                <c:pt idx="76">
                  <c:v>7.2851470389758506E-4</c:v>
                </c:pt>
                <c:pt idx="77">
                  <c:v>6.059231618777243E-4</c:v>
                </c:pt>
                <c:pt idx="78">
                  <c:v>5.0396675782147355E-4</c:v>
                </c:pt>
                <c:pt idx="79">
                  <c:v>4.1917047043833468E-4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0-2E4E-98F9-BF5D7D282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"/>
        <c:axId val="22654768"/>
        <c:axId val="736921727"/>
      </c:barChart>
      <c:catAx>
        <c:axId val="2265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21727"/>
        <c:crosses val="autoZero"/>
        <c:auto val="1"/>
        <c:lblAlgn val="ctr"/>
        <c:lblOffset val="100"/>
        <c:noMultiLvlLbl val="0"/>
      </c:catAx>
      <c:valAx>
        <c:axId val="736921727"/>
        <c:scaling>
          <c:orientation val="minMax"/>
          <c:max val="2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5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608276537430037"/>
          <c:y val="2.8573839796820148E-2"/>
          <c:w val="0.16391723906852068"/>
          <c:h val="4.7518683304289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Observed vs Expected Poisson and NBD</a:t>
            </a:r>
            <a:r>
              <a:rPr lang="en-US" sz="2800" baseline="0"/>
              <a:t>  - Packers Cowboys 1-25</a:t>
            </a:r>
            <a:endParaRPr lang="en-US" sz="2800"/>
          </a:p>
        </c:rich>
      </c:tx>
      <c:layout>
        <c:manualLayout>
          <c:xMode val="edge"/>
          <c:yMode val="edge"/>
          <c:x val="0.24799652636315395"/>
          <c:y val="3.2379877665252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47173922324134E-2"/>
          <c:y val="0.10375328674880276"/>
          <c:w val="0.97382058577783059"/>
          <c:h val="0.848451336740784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Observed_vs_Expected!$P$2:$P$26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Observed_vs_Expected!$Q$2:$Q$26</c:f>
              <c:numCache>
                <c:formatCode>General</c:formatCode>
                <c:ptCount val="25"/>
                <c:pt idx="0">
                  <c:v>2648</c:v>
                </c:pt>
                <c:pt idx="1">
                  <c:v>1084</c:v>
                </c:pt>
                <c:pt idx="2">
                  <c:v>617</c:v>
                </c:pt>
                <c:pt idx="3">
                  <c:v>431</c:v>
                </c:pt>
                <c:pt idx="4">
                  <c:v>284</c:v>
                </c:pt>
                <c:pt idx="5">
                  <c:v>217</c:v>
                </c:pt>
                <c:pt idx="6">
                  <c:v>175</c:v>
                </c:pt>
                <c:pt idx="7">
                  <c:v>118</c:v>
                </c:pt>
                <c:pt idx="8">
                  <c:v>123</c:v>
                </c:pt>
                <c:pt idx="9">
                  <c:v>94</c:v>
                </c:pt>
                <c:pt idx="10">
                  <c:v>90</c:v>
                </c:pt>
                <c:pt idx="11">
                  <c:v>65</c:v>
                </c:pt>
                <c:pt idx="12">
                  <c:v>59</c:v>
                </c:pt>
                <c:pt idx="13">
                  <c:v>45</c:v>
                </c:pt>
                <c:pt idx="14">
                  <c:v>47</c:v>
                </c:pt>
                <c:pt idx="15">
                  <c:v>42</c:v>
                </c:pt>
                <c:pt idx="16">
                  <c:v>30</c:v>
                </c:pt>
                <c:pt idx="17">
                  <c:v>14</c:v>
                </c:pt>
                <c:pt idx="18">
                  <c:v>28</c:v>
                </c:pt>
                <c:pt idx="19">
                  <c:v>27</c:v>
                </c:pt>
                <c:pt idx="20">
                  <c:v>21</c:v>
                </c:pt>
                <c:pt idx="21">
                  <c:v>18</c:v>
                </c:pt>
                <c:pt idx="22">
                  <c:v>10</c:v>
                </c:pt>
                <c:pt idx="23">
                  <c:v>17</c:v>
                </c:pt>
                <c:pt idx="2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F-BE43-BCA5-C140D0AE46FC}"/>
            </c:ext>
          </c:extLst>
        </c:ser>
        <c:ser>
          <c:idx val="1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Observed_vs_Expected!$P$2:$P$26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Observed_vs_Expected!$R$2:$R$26</c:f>
              <c:numCache>
                <c:formatCode>0.000</c:formatCode>
                <c:ptCount val="25"/>
                <c:pt idx="0">
                  <c:v>229.06385958342398</c:v>
                </c:pt>
                <c:pt idx="1">
                  <c:v>566.78036662938075</c:v>
                </c:pt>
                <c:pt idx="2">
                  <c:v>934.93574115312356</c:v>
                </c:pt>
                <c:pt idx="3">
                  <c:v>1156.6713821843443</c:v>
                </c:pt>
                <c:pt idx="4">
                  <c:v>1144.7962699247137</c:v>
                </c:pt>
                <c:pt idx="5">
                  <c:v>944.20256249919873</c:v>
                </c:pt>
                <c:pt idx="6">
                  <c:v>667.50627721885257</c:v>
                </c:pt>
                <c:pt idx="7">
                  <c:v>412.90827503031807</c:v>
                </c:pt>
                <c:pt idx="8">
                  <c:v>227.03838904389488</c:v>
                </c:pt>
                <c:pt idx="9">
                  <c:v>112.35373543016526</c:v>
                </c:pt>
                <c:pt idx="10">
                  <c:v>50.545564395804021</c:v>
                </c:pt>
                <c:pt idx="11">
                  <c:v>20.844430000031807</c:v>
                </c:pt>
                <c:pt idx="12">
                  <c:v>7.9347800142745841</c:v>
                </c:pt>
                <c:pt idx="13">
                  <c:v>2.8047559275097163</c:v>
                </c:pt>
                <c:pt idx="14">
                  <c:v>0.92532018264303084</c:v>
                </c:pt>
                <c:pt idx="15">
                  <c:v>0.28619383330578341</c:v>
                </c:pt>
                <c:pt idx="16">
                  <c:v>8.3310467150495532E-2</c:v>
                </c:pt>
                <c:pt idx="17">
                  <c:v>2.290420826629596E-2</c:v>
                </c:pt>
                <c:pt idx="18">
                  <c:v>5.9655419291258296E-3</c:v>
                </c:pt>
                <c:pt idx="19">
                  <c:v>1.4760739856046483E-3</c:v>
                </c:pt>
                <c:pt idx="20">
                  <c:v>3.4783802055588718E-4</c:v>
                </c:pt>
                <c:pt idx="21">
                  <c:v>7.8242476763243373E-5</c:v>
                </c:pt>
                <c:pt idx="22">
                  <c:v>1.6834606637456491E-5</c:v>
                </c:pt>
                <c:pt idx="23">
                  <c:v>3.4712025063633762E-6</c:v>
                </c:pt>
                <c:pt idx="24">
                  <c:v>6.8711299382779786E-7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F-BE43-BCA5-C140D0AE46FC}"/>
            </c:ext>
          </c:extLst>
        </c:ser>
        <c:ser>
          <c:idx val="2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Observed_vs_Expected!$P$2:$P$26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Observed_vs_Expected!$S$2:$S$26</c:f>
              <c:numCache>
                <c:formatCode>0.000</c:formatCode>
                <c:ptCount val="25"/>
                <c:pt idx="0">
                  <c:v>923.6470914019169</c:v>
                </c:pt>
                <c:pt idx="1">
                  <c:v>762.53580411876646</c:v>
                </c:pt>
                <c:pt idx="2">
                  <c:v>631.11618502424517</c:v>
                </c:pt>
                <c:pt idx="3">
                  <c:v>523.00376337320893</c:v>
                </c:pt>
                <c:pt idx="4">
                  <c:v>433.73835847687513</c:v>
                </c:pt>
                <c:pt idx="5">
                  <c:v>359.88940352062025</c:v>
                </c:pt>
                <c:pt idx="6">
                  <c:v>298.72122753141207</c:v>
                </c:pt>
                <c:pt idx="7">
                  <c:v>248.01612762275442</c:v>
                </c:pt>
                <c:pt idx="8">
                  <c:v>205.96081003423834</c:v>
                </c:pt>
                <c:pt idx="9">
                  <c:v>171.06529541041809</c:v>
                </c:pt>
                <c:pt idx="10">
                  <c:v>142.10150102101193</c:v>
                </c:pt>
                <c:pt idx="11">
                  <c:v>118.05515088449448</c:v>
                </c:pt>
                <c:pt idx="12">
                  <c:v>98.087375454703903</c:v>
                </c:pt>
                <c:pt idx="13">
                  <c:v>81.503676109912305</c:v>
                </c:pt>
                <c:pt idx="14">
                  <c:v>67.728647017922825</c:v>
                </c:pt>
                <c:pt idx="15">
                  <c:v>56.285279903994976</c:v>
                </c:pt>
                <c:pt idx="16">
                  <c:v>46.777960543022886</c:v>
                </c:pt>
                <c:pt idx="17">
                  <c:v>38.878463129380357</c:v>
                </c:pt>
                <c:pt idx="18">
                  <c:v>32.31439271178909</c:v>
                </c:pt>
                <c:pt idx="19">
                  <c:v>26.859634663373445</c:v>
                </c:pt>
                <c:pt idx="20">
                  <c:v>22.326454364402927</c:v>
                </c:pt>
                <c:pt idx="21">
                  <c:v>18.558956623455039</c:v>
                </c:pt>
                <c:pt idx="22">
                  <c:v>15.427667311844925</c:v>
                </c:pt>
                <c:pt idx="23">
                  <c:v>12.825042336889409</c:v>
                </c:pt>
                <c:pt idx="24">
                  <c:v>10.661743670684487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F-BE43-BCA5-C140D0AE4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549295"/>
        <c:axId val="661551007"/>
      </c:barChart>
      <c:catAx>
        <c:axId val="66154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51007"/>
        <c:crosses val="autoZero"/>
        <c:auto val="1"/>
        <c:lblAlgn val="ctr"/>
        <c:lblOffset val="100"/>
        <c:noMultiLvlLbl val="0"/>
      </c:catAx>
      <c:valAx>
        <c:axId val="6615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4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594785495396548"/>
          <c:y val="3.6357248465079069E-4"/>
          <c:w val="0.17623694422827471"/>
          <c:h val="0.11615452493492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10</xdr:col>
      <xdr:colOff>600480</xdr:colOff>
      <xdr:row>57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476250</xdr:colOff>
      <xdr:row>0</xdr:row>
      <xdr:rowOff>292100</xdr:rowOff>
    </xdr:from>
    <xdr:to>
      <xdr:col>46</xdr:col>
      <xdr:colOff>381000</xdr:colOff>
      <xdr:row>69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68662F-F878-646B-FEEE-64090087A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568</xdr:colOff>
      <xdr:row>82</xdr:row>
      <xdr:rowOff>131222</xdr:rowOff>
    </xdr:from>
    <xdr:to>
      <xdr:col>45</xdr:col>
      <xdr:colOff>126999</xdr:colOff>
      <xdr:row>121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F700C0-B1F8-7B4A-932B-056DAB291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opLeftCell="A139" zoomScaleNormal="100" workbookViewId="0">
      <selection activeCell="J216" sqref="J216"/>
    </sheetView>
  </sheetViews>
  <sheetFormatPr baseColWidth="10" defaultColWidth="8.6640625" defaultRowHeight="15"/>
  <cols>
    <col min="1" max="1" width="10.83203125" style="10" customWidth="1"/>
    <col min="2" max="2" width="22" style="10" customWidth="1"/>
    <col min="3" max="11" width="14" style="10" customWidth="1"/>
    <col min="12" max="16384" width="8.6640625" style="10"/>
  </cols>
  <sheetData>
    <row r="1" spans="1:11" ht="31.5" customHeight="1">
      <c r="A1" s="9" t="s">
        <v>0</v>
      </c>
      <c r="B1" s="28"/>
      <c r="C1" s="28"/>
      <c r="D1" s="28"/>
      <c r="E1" s="29"/>
      <c r="F1" s="24"/>
      <c r="G1" s="20"/>
      <c r="H1" s="20"/>
      <c r="I1" s="20"/>
      <c r="J1" s="20"/>
      <c r="K1" s="20"/>
    </row>
    <row r="2" spans="1:11" ht="15.75" customHeight="1">
      <c r="A2" s="18" t="s">
        <v>58</v>
      </c>
      <c r="B2" s="18"/>
      <c r="C2" s="18"/>
      <c r="D2" s="18"/>
      <c r="E2" s="18"/>
      <c r="F2" s="25"/>
      <c r="G2" s="21"/>
      <c r="H2" s="21"/>
      <c r="I2" s="21"/>
      <c r="J2" s="21"/>
      <c r="K2" s="21"/>
    </row>
    <row r="3" spans="1:11" ht="15" customHeight="1">
      <c r="F3" s="26"/>
      <c r="G3" s="22"/>
      <c r="H3" s="22"/>
      <c r="I3" s="22"/>
      <c r="J3" s="22"/>
      <c r="K3" s="22"/>
    </row>
    <row r="4" spans="1:11" ht="21.75" customHeight="1">
      <c r="A4" s="30" t="s">
        <v>1</v>
      </c>
      <c r="B4" s="31"/>
      <c r="C4" s="31"/>
      <c r="D4" s="31"/>
      <c r="E4" s="32"/>
      <c r="F4" s="27"/>
      <c r="G4" s="23"/>
      <c r="H4" s="23"/>
      <c r="I4" s="23"/>
      <c r="J4" s="23"/>
      <c r="K4" s="23"/>
    </row>
    <row r="5" spans="1:11" ht="27.75" customHeight="1">
      <c r="A5" s="12" t="s">
        <v>2</v>
      </c>
      <c r="B5" s="12" t="s">
        <v>3</v>
      </c>
      <c r="C5" s="12" t="s">
        <v>59</v>
      </c>
    </row>
    <row r="6" spans="1:11" ht="15" customHeight="1">
      <c r="A6" s="68">
        <v>1</v>
      </c>
      <c r="B6" s="68">
        <v>1</v>
      </c>
      <c r="C6" s="69">
        <v>2648</v>
      </c>
    </row>
    <row r="7" spans="1:11" ht="15" customHeight="1">
      <c r="A7" s="68">
        <v>2</v>
      </c>
      <c r="B7" s="68">
        <v>2</v>
      </c>
      <c r="C7" s="69">
        <v>1084</v>
      </c>
    </row>
    <row r="8" spans="1:11" ht="15" customHeight="1">
      <c r="A8" s="68">
        <v>3</v>
      </c>
      <c r="B8" s="68">
        <v>3</v>
      </c>
      <c r="C8" s="69">
        <v>617</v>
      </c>
    </row>
    <row r="9" spans="1:11" ht="15" customHeight="1">
      <c r="A9" s="68">
        <v>4</v>
      </c>
      <c r="B9" s="68">
        <v>4</v>
      </c>
      <c r="C9" s="69">
        <v>431</v>
      </c>
    </row>
    <row r="10" spans="1:11" ht="15" customHeight="1">
      <c r="A10" s="68">
        <v>5</v>
      </c>
      <c r="B10" s="68">
        <v>5</v>
      </c>
      <c r="C10" s="69">
        <v>284</v>
      </c>
    </row>
    <row r="11" spans="1:11" ht="15" customHeight="1">
      <c r="A11" s="68">
        <v>6</v>
      </c>
      <c r="B11" s="68">
        <v>6</v>
      </c>
      <c r="C11" s="69">
        <v>217</v>
      </c>
    </row>
    <row r="12" spans="1:11" ht="15" customHeight="1">
      <c r="A12" s="68">
        <v>7</v>
      </c>
      <c r="B12" s="68">
        <v>7</v>
      </c>
      <c r="C12" s="69">
        <v>175</v>
      </c>
    </row>
    <row r="13" spans="1:11" ht="15" customHeight="1">
      <c r="A13" s="68">
        <v>8</v>
      </c>
      <c r="B13" s="68">
        <v>8</v>
      </c>
      <c r="C13" s="69">
        <v>118</v>
      </c>
    </row>
    <row r="14" spans="1:11" ht="15" customHeight="1">
      <c r="A14" s="68">
        <v>9</v>
      </c>
      <c r="B14" s="68">
        <v>9</v>
      </c>
      <c r="C14" s="69">
        <v>123</v>
      </c>
    </row>
    <row r="15" spans="1:11" ht="15" customHeight="1">
      <c r="A15" s="68">
        <v>10</v>
      </c>
      <c r="B15" s="68">
        <v>10</v>
      </c>
      <c r="C15" s="69">
        <v>94</v>
      </c>
    </row>
    <row r="16" spans="1:11" ht="15" customHeight="1">
      <c r="A16" s="68">
        <v>11</v>
      </c>
      <c r="B16" s="68">
        <v>11</v>
      </c>
      <c r="C16" s="69">
        <v>90</v>
      </c>
    </row>
    <row r="17" spans="1:3" ht="15" customHeight="1">
      <c r="A17" s="68">
        <v>12</v>
      </c>
      <c r="B17" s="68">
        <v>12</v>
      </c>
      <c r="C17" s="69">
        <v>65</v>
      </c>
    </row>
    <row r="18" spans="1:3" ht="15" customHeight="1">
      <c r="A18" s="68">
        <v>13</v>
      </c>
      <c r="B18" s="68">
        <v>13</v>
      </c>
      <c r="C18" s="69">
        <v>59</v>
      </c>
    </row>
    <row r="19" spans="1:3" ht="15" customHeight="1">
      <c r="A19" s="68">
        <v>14</v>
      </c>
      <c r="B19" s="68">
        <v>14</v>
      </c>
      <c r="C19" s="69">
        <v>45</v>
      </c>
    </row>
    <row r="20" spans="1:3" ht="15" customHeight="1">
      <c r="A20" s="68">
        <v>15</v>
      </c>
      <c r="B20" s="68">
        <v>15</v>
      </c>
      <c r="C20" s="69">
        <v>47</v>
      </c>
    </row>
    <row r="21" spans="1:3" ht="15" customHeight="1">
      <c r="A21" s="68">
        <v>16</v>
      </c>
      <c r="B21" s="68">
        <v>16</v>
      </c>
      <c r="C21" s="69">
        <v>42</v>
      </c>
    </row>
    <row r="22" spans="1:3" ht="15" customHeight="1">
      <c r="A22" s="68">
        <v>17</v>
      </c>
      <c r="B22" s="68">
        <v>17</v>
      </c>
      <c r="C22" s="69">
        <v>30</v>
      </c>
    </row>
    <row r="23" spans="1:3" ht="15" customHeight="1">
      <c r="A23" s="68">
        <v>18</v>
      </c>
      <c r="B23" s="68">
        <v>18</v>
      </c>
      <c r="C23" s="69">
        <v>14</v>
      </c>
    </row>
    <row r="24" spans="1:3" ht="15" customHeight="1">
      <c r="A24" s="68">
        <v>19</v>
      </c>
      <c r="B24" s="68">
        <v>19</v>
      </c>
      <c r="C24" s="69">
        <v>28</v>
      </c>
    </row>
    <row r="25" spans="1:3" ht="15" customHeight="1">
      <c r="A25" s="68">
        <v>20</v>
      </c>
      <c r="B25" s="68">
        <v>20</v>
      </c>
      <c r="C25" s="69">
        <v>27</v>
      </c>
    </row>
    <row r="26" spans="1:3" ht="15" customHeight="1">
      <c r="A26" s="68">
        <v>21</v>
      </c>
      <c r="B26" s="68">
        <v>21</v>
      </c>
      <c r="C26" s="69">
        <v>21</v>
      </c>
    </row>
    <row r="27" spans="1:3" ht="15" customHeight="1">
      <c r="A27" s="68">
        <v>22</v>
      </c>
      <c r="B27" s="68">
        <v>22</v>
      </c>
      <c r="C27" s="69">
        <v>18</v>
      </c>
    </row>
    <row r="28" spans="1:3" ht="15" customHeight="1">
      <c r="A28" s="68">
        <v>23</v>
      </c>
      <c r="B28" s="68">
        <v>23</v>
      </c>
      <c r="C28" s="69">
        <v>10</v>
      </c>
    </row>
    <row r="29" spans="1:3" ht="15" customHeight="1">
      <c r="A29" s="68">
        <v>24</v>
      </c>
      <c r="B29" s="68">
        <v>24</v>
      </c>
      <c r="C29" s="69">
        <v>17</v>
      </c>
    </row>
    <row r="30" spans="1:3" ht="15" customHeight="1">
      <c r="A30" s="68">
        <v>25</v>
      </c>
      <c r="B30" s="68">
        <v>25</v>
      </c>
      <c r="C30" s="69">
        <v>20</v>
      </c>
    </row>
    <row r="31" spans="1:3" ht="15" customHeight="1">
      <c r="A31" s="68">
        <v>26</v>
      </c>
      <c r="B31" s="68">
        <v>26</v>
      </c>
      <c r="C31" s="69">
        <v>21</v>
      </c>
    </row>
    <row r="32" spans="1:3" ht="15" customHeight="1">
      <c r="A32" s="68">
        <v>27</v>
      </c>
      <c r="B32" s="68">
        <v>27</v>
      </c>
      <c r="C32" s="69">
        <v>4</v>
      </c>
    </row>
    <row r="33" spans="1:3" ht="15" customHeight="1">
      <c r="A33" s="68">
        <v>28</v>
      </c>
      <c r="B33" s="68">
        <v>28</v>
      </c>
      <c r="C33" s="69">
        <v>17</v>
      </c>
    </row>
    <row r="34" spans="1:3" ht="15" customHeight="1">
      <c r="A34" s="68">
        <v>29</v>
      </c>
      <c r="B34" s="68">
        <v>29</v>
      </c>
      <c r="C34" s="69">
        <v>9</v>
      </c>
    </row>
    <row r="35" spans="1:3" ht="15" customHeight="1">
      <c r="A35" s="68">
        <v>30</v>
      </c>
      <c r="B35" s="68">
        <v>30</v>
      </c>
      <c r="C35" s="69">
        <v>17</v>
      </c>
    </row>
    <row r="36" spans="1:3" ht="15" customHeight="1">
      <c r="A36" s="68">
        <v>31</v>
      </c>
      <c r="B36" s="68">
        <v>31</v>
      </c>
      <c r="C36" s="69">
        <v>8</v>
      </c>
    </row>
    <row r="37" spans="1:3" ht="15" customHeight="1">
      <c r="A37" s="68">
        <v>32</v>
      </c>
      <c r="B37" s="68">
        <v>32</v>
      </c>
      <c r="C37" s="69">
        <v>5</v>
      </c>
    </row>
    <row r="38" spans="1:3" ht="15" customHeight="1">
      <c r="A38" s="68">
        <v>33</v>
      </c>
      <c r="B38" s="68">
        <v>33</v>
      </c>
      <c r="C38" s="69">
        <v>10</v>
      </c>
    </row>
    <row r="39" spans="1:3" ht="15" customHeight="1">
      <c r="A39" s="68">
        <v>34</v>
      </c>
      <c r="B39" s="68">
        <v>34</v>
      </c>
      <c r="C39" s="69">
        <v>6</v>
      </c>
    </row>
    <row r="40" spans="1:3" ht="15" customHeight="1">
      <c r="A40" s="68">
        <v>35</v>
      </c>
      <c r="B40" s="68">
        <v>35</v>
      </c>
      <c r="C40" s="69">
        <v>5</v>
      </c>
    </row>
    <row r="41" spans="1:3" ht="15" customHeight="1">
      <c r="A41" s="68">
        <v>36</v>
      </c>
      <c r="B41" s="68">
        <v>36</v>
      </c>
      <c r="C41" s="69">
        <v>4</v>
      </c>
    </row>
    <row r="42" spans="1:3" ht="15" customHeight="1">
      <c r="A42" s="68">
        <v>37</v>
      </c>
      <c r="B42" s="68">
        <v>37</v>
      </c>
      <c r="C42" s="69">
        <v>4</v>
      </c>
    </row>
    <row r="43" spans="1:3" ht="15" customHeight="1">
      <c r="A43" s="68">
        <v>38</v>
      </c>
      <c r="B43" s="68">
        <v>38</v>
      </c>
      <c r="C43" s="69">
        <v>5</v>
      </c>
    </row>
    <row r="44" spans="1:3" ht="15" customHeight="1">
      <c r="A44" s="68">
        <v>39</v>
      </c>
      <c r="B44" s="68">
        <v>39</v>
      </c>
      <c r="C44" s="69">
        <v>7</v>
      </c>
    </row>
    <row r="45" spans="1:3" ht="15" customHeight="1">
      <c r="A45" s="68">
        <v>40</v>
      </c>
      <c r="B45" s="68">
        <v>40</v>
      </c>
      <c r="C45" s="69">
        <v>5</v>
      </c>
    </row>
    <row r="46" spans="1:3" ht="15" customHeight="1">
      <c r="A46" s="68">
        <v>41</v>
      </c>
      <c r="B46" s="68">
        <v>41</v>
      </c>
      <c r="C46" s="69">
        <v>2</v>
      </c>
    </row>
    <row r="47" spans="1:3" ht="15" customHeight="1">
      <c r="A47" s="68">
        <v>42</v>
      </c>
      <c r="B47" s="68">
        <v>42</v>
      </c>
      <c r="C47" s="69">
        <v>8</v>
      </c>
    </row>
    <row r="48" spans="1:3" ht="15" customHeight="1">
      <c r="A48" s="68">
        <v>43</v>
      </c>
      <c r="B48" s="68">
        <v>43</v>
      </c>
      <c r="C48" s="69">
        <v>1</v>
      </c>
    </row>
    <row r="49" spans="1:3" ht="15" customHeight="1">
      <c r="A49" s="68">
        <v>44</v>
      </c>
      <c r="B49" s="68">
        <v>44</v>
      </c>
      <c r="C49" s="69">
        <v>4</v>
      </c>
    </row>
    <row r="50" spans="1:3" ht="15" customHeight="1">
      <c r="A50" s="68">
        <v>45</v>
      </c>
      <c r="B50" s="68">
        <v>45</v>
      </c>
      <c r="C50" s="69">
        <v>7</v>
      </c>
    </row>
    <row r="51" spans="1:3" ht="15" customHeight="1">
      <c r="A51" s="68">
        <v>46</v>
      </c>
      <c r="B51" s="68">
        <v>46</v>
      </c>
      <c r="C51" s="69">
        <v>2</v>
      </c>
    </row>
    <row r="52" spans="1:3" ht="15" customHeight="1">
      <c r="A52" s="68">
        <v>47</v>
      </c>
      <c r="B52" s="68">
        <v>47</v>
      </c>
      <c r="C52" s="69">
        <v>4</v>
      </c>
    </row>
    <row r="53" spans="1:3" ht="15" customHeight="1">
      <c r="A53" s="68">
        <v>48</v>
      </c>
      <c r="B53" s="68">
        <v>48</v>
      </c>
      <c r="C53" s="69">
        <v>1</v>
      </c>
    </row>
    <row r="54" spans="1:3" ht="15" customHeight="1">
      <c r="A54" s="68">
        <v>49</v>
      </c>
      <c r="B54" s="68">
        <v>49</v>
      </c>
      <c r="C54" s="69">
        <v>2</v>
      </c>
    </row>
    <row r="55" spans="1:3" ht="15" customHeight="1">
      <c r="A55" s="68">
        <v>50</v>
      </c>
      <c r="B55" s="68">
        <v>50</v>
      </c>
      <c r="C55" s="69">
        <v>2</v>
      </c>
    </row>
    <row r="56" spans="1:3" ht="15" customHeight="1">
      <c r="A56" s="68">
        <v>51</v>
      </c>
      <c r="B56" s="68">
        <v>51</v>
      </c>
      <c r="C56" s="69">
        <v>3</v>
      </c>
    </row>
    <row r="57" spans="1:3" ht="15" customHeight="1">
      <c r="A57" s="68">
        <v>52</v>
      </c>
      <c r="B57" s="68">
        <v>52</v>
      </c>
      <c r="C57" s="69">
        <v>1</v>
      </c>
    </row>
    <row r="58" spans="1:3" ht="15" customHeight="1">
      <c r="A58" s="68">
        <v>53</v>
      </c>
      <c r="B58" s="68">
        <v>53</v>
      </c>
      <c r="C58" s="69">
        <v>1</v>
      </c>
    </row>
    <row r="59" spans="1:3" ht="15" customHeight="1">
      <c r="A59" s="68">
        <v>54</v>
      </c>
      <c r="B59" s="68">
        <v>54</v>
      </c>
      <c r="C59" s="69">
        <v>3</v>
      </c>
    </row>
    <row r="60" spans="1:3" ht="15" customHeight="1">
      <c r="A60" s="68">
        <v>55</v>
      </c>
      <c r="B60" s="68">
        <v>55</v>
      </c>
      <c r="C60" s="69">
        <v>2</v>
      </c>
    </row>
    <row r="61" spans="1:3" ht="15" customHeight="1">
      <c r="A61" s="68">
        <v>56</v>
      </c>
      <c r="B61" s="68">
        <v>56</v>
      </c>
      <c r="C61" s="69">
        <v>2</v>
      </c>
    </row>
    <row r="62" spans="1:3" ht="15" customHeight="1">
      <c r="A62" s="68">
        <v>57</v>
      </c>
      <c r="B62" s="68">
        <v>57</v>
      </c>
      <c r="C62" s="69">
        <v>1</v>
      </c>
    </row>
    <row r="63" spans="1:3" ht="15" customHeight="1">
      <c r="A63" s="68">
        <v>58</v>
      </c>
      <c r="B63" s="68">
        <v>58</v>
      </c>
      <c r="C63" s="69">
        <v>1</v>
      </c>
    </row>
    <row r="64" spans="1:3" ht="15" customHeight="1">
      <c r="A64" s="68">
        <v>59</v>
      </c>
      <c r="B64" s="68">
        <v>61</v>
      </c>
      <c r="C64" s="69">
        <v>2</v>
      </c>
    </row>
    <row r="65" spans="1:3" ht="15" customHeight="1">
      <c r="A65" s="68">
        <v>60</v>
      </c>
      <c r="B65" s="68">
        <v>62</v>
      </c>
      <c r="C65" s="69">
        <v>1</v>
      </c>
    </row>
    <row r="66" spans="1:3" ht="15" customHeight="1">
      <c r="A66" s="68">
        <v>61</v>
      </c>
      <c r="B66" s="68">
        <v>64</v>
      </c>
      <c r="C66" s="69">
        <v>3</v>
      </c>
    </row>
    <row r="67" spans="1:3" ht="15" customHeight="1">
      <c r="A67" s="68">
        <v>62</v>
      </c>
      <c r="B67" s="68">
        <v>66</v>
      </c>
      <c r="C67" s="69">
        <v>1</v>
      </c>
    </row>
    <row r="68" spans="1:3" ht="15" customHeight="1">
      <c r="A68" s="68">
        <v>63</v>
      </c>
      <c r="B68" s="68">
        <v>67</v>
      </c>
      <c r="C68" s="69">
        <v>1</v>
      </c>
    </row>
    <row r="69" spans="1:3" ht="15" customHeight="1">
      <c r="A69" s="68">
        <v>64</v>
      </c>
      <c r="B69" s="68">
        <v>70</v>
      </c>
      <c r="C69" s="69">
        <v>3</v>
      </c>
    </row>
    <row r="70" spans="1:3" ht="15" customHeight="1">
      <c r="A70" s="68">
        <v>65</v>
      </c>
      <c r="B70" s="68">
        <v>71</v>
      </c>
      <c r="C70" s="69">
        <v>2</v>
      </c>
    </row>
    <row r="71" spans="1:3" ht="15" customHeight="1">
      <c r="A71" s="68">
        <v>66</v>
      </c>
      <c r="B71" s="68">
        <v>72</v>
      </c>
      <c r="C71" s="69">
        <v>1</v>
      </c>
    </row>
    <row r="72" spans="1:3" ht="15" customHeight="1">
      <c r="A72" s="68">
        <v>67</v>
      </c>
      <c r="B72" s="68">
        <v>74</v>
      </c>
      <c r="C72" s="69">
        <v>1</v>
      </c>
    </row>
    <row r="73" spans="1:3" ht="15" customHeight="1">
      <c r="A73" s="68">
        <v>68</v>
      </c>
      <c r="B73" s="68">
        <v>76</v>
      </c>
      <c r="C73" s="69">
        <v>1</v>
      </c>
    </row>
    <row r="74" spans="1:3" ht="15" customHeight="1">
      <c r="A74" s="68">
        <v>69</v>
      </c>
      <c r="B74" s="68">
        <v>82</v>
      </c>
      <c r="C74" s="69">
        <v>1</v>
      </c>
    </row>
    <row r="75" spans="1:3" ht="15" customHeight="1">
      <c r="A75" s="68">
        <v>70</v>
      </c>
      <c r="B75" s="68">
        <v>83</v>
      </c>
      <c r="C75" s="69">
        <v>1</v>
      </c>
    </row>
    <row r="76" spans="1:3" ht="15" customHeight="1">
      <c r="A76" s="68">
        <v>71</v>
      </c>
      <c r="B76" s="68">
        <v>85</v>
      </c>
      <c r="C76" s="69">
        <v>1</v>
      </c>
    </row>
    <row r="77" spans="1:3" ht="15" customHeight="1">
      <c r="A77" s="68">
        <v>72</v>
      </c>
      <c r="B77" s="68">
        <v>90</v>
      </c>
      <c r="C77" s="69">
        <v>1</v>
      </c>
    </row>
    <row r="78" spans="1:3" ht="15" customHeight="1">
      <c r="A78" s="68">
        <v>73</v>
      </c>
      <c r="B78" s="68">
        <v>104</v>
      </c>
      <c r="C78" s="69">
        <v>1</v>
      </c>
    </row>
    <row r="79" spans="1:3" ht="15" customHeight="1">
      <c r="A79" s="68">
        <v>74</v>
      </c>
      <c r="B79" s="68">
        <v>108</v>
      </c>
      <c r="C79" s="69">
        <v>1</v>
      </c>
    </row>
    <row r="80" spans="1:3" ht="15" customHeight="1">
      <c r="A80" s="68">
        <v>75</v>
      </c>
      <c r="B80" s="68">
        <v>112</v>
      </c>
      <c r="C80" s="69">
        <v>1</v>
      </c>
    </row>
    <row r="81" spans="1:11" ht="15" customHeight="1">
      <c r="A81" s="68">
        <v>76</v>
      </c>
      <c r="B81" s="68">
        <v>113</v>
      </c>
      <c r="C81" s="69">
        <v>1</v>
      </c>
    </row>
    <row r="82" spans="1:11" ht="15" customHeight="1">
      <c r="A82" s="68">
        <v>77</v>
      </c>
      <c r="B82" s="68">
        <v>121</v>
      </c>
      <c r="C82" s="69">
        <v>1</v>
      </c>
    </row>
    <row r="83" spans="1:11" ht="15" customHeight="1">
      <c r="A83" s="68">
        <v>78</v>
      </c>
      <c r="B83" s="68">
        <v>127</v>
      </c>
      <c r="C83" s="69">
        <v>1</v>
      </c>
    </row>
    <row r="84" spans="1:11" ht="15" customHeight="1">
      <c r="A84" s="68">
        <v>79</v>
      </c>
      <c r="B84" s="68">
        <v>141</v>
      </c>
      <c r="C84" s="69">
        <v>1</v>
      </c>
    </row>
    <row r="85" spans="1:11" ht="15" customHeight="1">
      <c r="A85" s="68">
        <v>80</v>
      </c>
      <c r="B85" s="68">
        <v>156</v>
      </c>
      <c r="C85" s="69">
        <v>1</v>
      </c>
    </row>
    <row r="86" spans="1:11" ht="18" customHeight="1">
      <c r="A86" s="13" t="s">
        <v>4</v>
      </c>
      <c r="B86" s="14"/>
      <c r="C86" s="7">
        <f>SUM(C6:C85)</f>
        <v>6526</v>
      </c>
    </row>
    <row r="87" spans="1:11" ht="15" customHeight="1"/>
    <row r="88" spans="1:11" ht="21.75" customHeight="1">
      <c r="A88" s="30" t="s">
        <v>61</v>
      </c>
      <c r="B88" s="32"/>
      <c r="C88" s="34"/>
      <c r="D88" s="35"/>
      <c r="E88" s="35"/>
      <c r="F88" s="35"/>
      <c r="G88" s="23"/>
      <c r="H88" s="23"/>
      <c r="I88" s="23"/>
      <c r="J88" s="23"/>
      <c r="K88" s="23"/>
    </row>
    <row r="89" spans="1:11" ht="15" customHeight="1">
      <c r="A89" s="13" t="s">
        <v>60</v>
      </c>
      <c r="B89" s="36">
        <v>0.98496809206545477</v>
      </c>
      <c r="C89" s="37"/>
      <c r="D89" s="38"/>
      <c r="E89" s="38"/>
      <c r="F89" s="38"/>
      <c r="G89" s="39"/>
      <c r="H89" s="40"/>
      <c r="I89" s="40"/>
      <c r="J89" s="40"/>
      <c r="K89" s="40"/>
    </row>
    <row r="90" spans="1:11" ht="18" customHeight="1">
      <c r="A90" s="13" t="s">
        <v>62</v>
      </c>
      <c r="B90" s="36">
        <v>0.20217961888404146</v>
      </c>
      <c r="C90" s="37"/>
      <c r="D90" s="38" t="s">
        <v>63</v>
      </c>
      <c r="E90" s="38"/>
      <c r="F90" s="38" t="s">
        <v>64</v>
      </c>
      <c r="G90" s="39"/>
      <c r="H90" s="41"/>
      <c r="I90" s="41"/>
      <c r="J90" s="41"/>
      <c r="K90" s="41"/>
    </row>
    <row r="91" spans="1:11" ht="18" customHeight="1">
      <c r="A91" s="13" t="s">
        <v>65</v>
      </c>
      <c r="B91" s="42">
        <f>SUMPRODUCT(B6:B85, C6:C85) / C86</f>
        <v>4.948666870977628</v>
      </c>
      <c r="C91" s="37"/>
      <c r="D91" s="38">
        <f>EXP(-B91)</f>
        <v>7.0928583243048144E-3</v>
      </c>
      <c r="E91" s="38"/>
      <c r="F91" s="38">
        <f>(B90/(B90+1))^B89</f>
        <v>0.17274528271593276</v>
      </c>
      <c r="G91" s="39"/>
      <c r="H91" s="41"/>
      <c r="I91" s="41"/>
      <c r="J91" s="41"/>
      <c r="K91" s="41"/>
    </row>
    <row r="92" spans="1:11" ht="15" customHeight="1"/>
    <row r="93" spans="1:11" ht="21.75" customHeight="1">
      <c r="A93" s="30" t="s">
        <v>81</v>
      </c>
      <c r="B93" s="31"/>
      <c r="C93" s="31"/>
      <c r="D93" s="31"/>
      <c r="E93" s="31"/>
      <c r="F93" s="31"/>
      <c r="G93" s="31"/>
      <c r="H93" s="31"/>
      <c r="I93" s="32"/>
      <c r="J93" s="27"/>
      <c r="K93" s="23"/>
    </row>
    <row r="94" spans="1:11" ht="31.5" customHeight="1">
      <c r="A94" s="12" t="s">
        <v>5</v>
      </c>
      <c r="B94" s="12" t="s">
        <v>83</v>
      </c>
      <c r="C94" s="12" t="s">
        <v>84</v>
      </c>
      <c r="D94" s="12" t="s">
        <v>85</v>
      </c>
      <c r="E94" s="12" t="s">
        <v>86</v>
      </c>
      <c r="F94" s="12" t="s">
        <v>87</v>
      </c>
      <c r="G94" s="12" t="s">
        <v>72</v>
      </c>
      <c r="H94" s="12" t="s">
        <v>73</v>
      </c>
      <c r="I94" s="12" t="s">
        <v>88</v>
      </c>
    </row>
    <row r="95" spans="1:11" ht="15" customHeight="1">
      <c r="A95" s="68">
        <v>1</v>
      </c>
      <c r="B95" s="69">
        <v>2648</v>
      </c>
      <c r="C95" s="69">
        <f>($B$91/1) * D91</f>
        <v>3.5100193010025128E-2</v>
      </c>
      <c r="D95" s="70">
        <f>C95*$C$86</f>
        <v>229.06385958342398</v>
      </c>
      <c r="E95" s="69">
        <f>((B89)/(1*(B90+1))) * F91</f>
        <v>0.1415334188479799</v>
      </c>
      <c r="F95" s="70">
        <f>E95*$C$86</f>
        <v>923.6470914019169</v>
      </c>
      <c r="G95" s="69">
        <f t="shared" ref="G95:G126" si="0">IF(C95&gt;0, B95*LN(C95), 0)</f>
        <v>-8869.6048243111218</v>
      </c>
      <c r="H95" s="69">
        <f t="shared" ref="H95:H126" si="1">IF(E95&gt;0, B95*LN(E95), 0)</f>
        <v>-5177.4210087481479</v>
      </c>
      <c r="I95" s="69">
        <f>B95/C86</f>
        <v>0.40576156910818267</v>
      </c>
    </row>
    <row r="96" spans="1:11" ht="15" customHeight="1">
      <c r="A96" s="68">
        <v>2</v>
      </c>
      <c r="B96" s="69">
        <v>1084</v>
      </c>
      <c r="C96" s="69">
        <f>($B$91/A96) * C95</f>
        <v>8.684958115681593E-2</v>
      </c>
      <c r="D96" s="70">
        <f t="shared" ref="D96:D159" si="2">C96*$C$86</f>
        <v>566.78036662938075</v>
      </c>
      <c r="E96" s="69">
        <f>(($B$89 + A96 - 1)/(A96*($B$90+1))) * E95</f>
        <v>0.11684581736419958</v>
      </c>
      <c r="F96" s="70">
        <f t="shared" ref="F96:F159" si="3">E96*$C$86</f>
        <v>762.53580411876646</v>
      </c>
      <c r="G96" s="69">
        <f t="shared" si="0"/>
        <v>-2648.8381280594795</v>
      </c>
      <c r="H96" s="69">
        <f t="shared" si="1"/>
        <v>-2327.2396146912079</v>
      </c>
      <c r="I96" s="69">
        <f>B96/C86</f>
        <v>0.16610481152313822</v>
      </c>
    </row>
    <row r="97" spans="1:9" ht="15" customHeight="1">
      <c r="A97" s="68">
        <v>3</v>
      </c>
      <c r="B97" s="69">
        <v>617</v>
      </c>
      <c r="C97" s="69">
        <f t="shared" ref="C97:C160" si="4">($B$91/A97) * C96</f>
        <v>0.14326321500967262</v>
      </c>
      <c r="D97" s="70">
        <f t="shared" si="2"/>
        <v>934.93574115312356</v>
      </c>
      <c r="E97" s="69">
        <f t="shared" ref="E97:E160" si="5">(($B$89 + A97 - 1)/(A97*($B$90+1))) * E96</f>
        <v>9.6707965832706883E-2</v>
      </c>
      <c r="F97" s="70">
        <f t="shared" si="3"/>
        <v>631.11618502424517</v>
      </c>
      <c r="G97" s="69">
        <f t="shared" si="0"/>
        <v>-1198.8752242559747</v>
      </c>
      <c r="H97" s="69">
        <f t="shared" si="1"/>
        <v>-1441.3487134469517</v>
      </c>
      <c r="I97" s="69">
        <f>B97/C86</f>
        <v>9.4544897333741953E-2</v>
      </c>
    </row>
    <row r="98" spans="1:9" ht="15" customHeight="1">
      <c r="A98" s="68">
        <v>4</v>
      </c>
      <c r="B98" s="69">
        <v>431</v>
      </c>
      <c r="C98" s="69">
        <f t="shared" si="4"/>
        <v>0.17724048148702795</v>
      </c>
      <c r="D98" s="70">
        <f t="shared" si="2"/>
        <v>1156.6713821843443</v>
      </c>
      <c r="E98" s="69">
        <f t="shared" si="5"/>
        <v>8.0141551237083802E-2</v>
      </c>
      <c r="F98" s="70">
        <f t="shared" si="3"/>
        <v>523.00376337320893</v>
      </c>
      <c r="G98" s="69">
        <f t="shared" si="0"/>
        <v>-745.73680872718069</v>
      </c>
      <c r="H98" s="69">
        <f t="shared" si="1"/>
        <v>-1087.8271122873143</v>
      </c>
      <c r="I98" s="69">
        <f>B98/C86</f>
        <v>6.6043518234753296E-2</v>
      </c>
    </row>
    <row r="99" spans="1:9" ht="15" customHeight="1">
      <c r="A99" s="68">
        <v>5</v>
      </c>
      <c r="B99" s="69">
        <v>284</v>
      </c>
      <c r="C99" s="69">
        <f t="shared" si="4"/>
        <v>0.17542081978619578</v>
      </c>
      <c r="D99" s="70">
        <f t="shared" si="2"/>
        <v>1144.7962699247137</v>
      </c>
      <c r="E99" s="69">
        <f t="shared" si="5"/>
        <v>6.6463125724314301E-2</v>
      </c>
      <c r="F99" s="70">
        <f t="shared" si="3"/>
        <v>433.73835847687513</v>
      </c>
      <c r="G99" s="69">
        <f t="shared" si="0"/>
        <v>-494.32117204285117</v>
      </c>
      <c r="H99" s="69">
        <f t="shared" si="1"/>
        <v>-769.95466788165163</v>
      </c>
      <c r="I99" s="69">
        <f>B99/C86</f>
        <v>4.3518234753294513E-2</v>
      </c>
    </row>
    <row r="100" spans="1:9" ht="15" customHeight="1">
      <c r="A100" s="68">
        <v>6</v>
      </c>
      <c r="B100" s="69">
        <v>217</v>
      </c>
      <c r="C100" s="69">
        <f t="shared" si="4"/>
        <v>0.14468319989261397</v>
      </c>
      <c r="D100" s="70">
        <f t="shared" si="2"/>
        <v>944.20256249919873</v>
      </c>
      <c r="E100" s="69">
        <f t="shared" si="5"/>
        <v>5.5147012491667216E-2</v>
      </c>
      <c r="F100" s="70">
        <f t="shared" si="3"/>
        <v>359.88940352062025</v>
      </c>
      <c r="G100" s="69">
        <f t="shared" si="0"/>
        <v>-419.50629985841124</v>
      </c>
      <c r="H100" s="69">
        <f t="shared" si="1"/>
        <v>-628.81233705991735</v>
      </c>
      <c r="I100" s="69">
        <f>B100/C86</f>
        <v>3.3251608948820101E-2</v>
      </c>
    </row>
    <row r="101" spans="1:9" ht="15" customHeight="1">
      <c r="A101" s="68">
        <v>7</v>
      </c>
      <c r="B101" s="69">
        <v>175</v>
      </c>
      <c r="C101" s="69">
        <f t="shared" si="4"/>
        <v>0.1022841368708018</v>
      </c>
      <c r="D101" s="70">
        <f t="shared" si="2"/>
        <v>667.50627721885257</v>
      </c>
      <c r="E101" s="69">
        <f t="shared" si="5"/>
        <v>4.5774015864451741E-2</v>
      </c>
      <c r="F101" s="70">
        <f t="shared" si="3"/>
        <v>298.72122753141207</v>
      </c>
      <c r="G101" s="69">
        <f t="shared" si="0"/>
        <v>-399.00011949873112</v>
      </c>
      <c r="H101" s="69">
        <f t="shared" si="1"/>
        <v>-539.70677041118086</v>
      </c>
      <c r="I101" s="69">
        <f>B101/C86</f>
        <v>2.6815813668403309E-2</v>
      </c>
    </row>
    <row r="102" spans="1:9" ht="15" customHeight="1">
      <c r="A102" s="68">
        <v>8</v>
      </c>
      <c r="B102" s="69">
        <v>118</v>
      </c>
      <c r="C102" s="69">
        <f t="shared" si="4"/>
        <v>6.3271264944884775E-2</v>
      </c>
      <c r="D102" s="70">
        <f t="shared" si="2"/>
        <v>412.90827503031807</v>
      </c>
      <c r="E102" s="69">
        <f t="shared" si="5"/>
        <v>3.8004310086232673E-2</v>
      </c>
      <c r="F102" s="70">
        <f t="shared" si="3"/>
        <v>248.01612762275442</v>
      </c>
      <c r="G102" s="69">
        <f t="shared" si="0"/>
        <v>-325.71823237953765</v>
      </c>
      <c r="H102" s="69">
        <f t="shared" si="1"/>
        <v>-385.86657287916171</v>
      </c>
      <c r="I102" s="69">
        <f>B102/C86</f>
        <v>1.8081520073551946E-2</v>
      </c>
    </row>
    <row r="103" spans="1:9" ht="15" customHeight="1">
      <c r="A103" s="68">
        <v>9</v>
      </c>
      <c r="B103" s="69">
        <v>123</v>
      </c>
      <c r="C103" s="69">
        <f t="shared" si="4"/>
        <v>3.4789823635288826E-2</v>
      </c>
      <c r="D103" s="70">
        <f t="shared" si="2"/>
        <v>227.03838904389488</v>
      </c>
      <c r="E103" s="69">
        <f t="shared" si="5"/>
        <v>3.156003831355169E-2</v>
      </c>
      <c r="F103" s="70">
        <f t="shared" si="3"/>
        <v>205.96081003423834</v>
      </c>
      <c r="G103" s="69">
        <f t="shared" si="0"/>
        <v>-413.08693418643793</v>
      </c>
      <c r="H103" s="69">
        <f t="shared" si="1"/>
        <v>-425.07121898876329</v>
      </c>
      <c r="I103" s="69">
        <f>B103/C86</f>
        <v>1.8847686178363469E-2</v>
      </c>
    </row>
    <row r="104" spans="1:9" ht="15" customHeight="1">
      <c r="A104" s="68">
        <v>10</v>
      </c>
      <c r="B104" s="69">
        <v>94</v>
      </c>
      <c r="C104" s="69">
        <f t="shared" si="4"/>
        <v>1.7216324767110828E-2</v>
      </c>
      <c r="D104" s="70">
        <f t="shared" si="2"/>
        <v>112.35373543016526</v>
      </c>
      <c r="E104" s="69">
        <f t="shared" si="5"/>
        <v>2.6212886210606513E-2</v>
      </c>
      <c r="F104" s="70">
        <f t="shared" si="3"/>
        <v>171.06529541041809</v>
      </c>
      <c r="G104" s="69">
        <f t="shared" si="0"/>
        <v>-381.81833970648671</v>
      </c>
      <c r="H104" s="69">
        <f t="shared" si="1"/>
        <v>-342.30139000875391</v>
      </c>
      <c r="I104" s="69">
        <f>B104/C86</f>
        <v>1.4403922770456636E-2</v>
      </c>
    </row>
    <row r="105" spans="1:9" ht="15" customHeight="1">
      <c r="A105" s="68">
        <v>11</v>
      </c>
      <c r="B105" s="69">
        <v>90</v>
      </c>
      <c r="C105" s="69">
        <f t="shared" si="4"/>
        <v>7.7452596377266354E-3</v>
      </c>
      <c r="D105" s="70">
        <f t="shared" si="2"/>
        <v>50.545564395804021</v>
      </c>
      <c r="E105" s="69">
        <f t="shared" si="5"/>
        <v>2.1774670705027879E-2</v>
      </c>
      <c r="F105" s="70">
        <f t="shared" si="3"/>
        <v>142.10150102101193</v>
      </c>
      <c r="G105" s="69">
        <f t="shared" si="0"/>
        <v>-437.46068541646207</v>
      </c>
      <c r="H105" s="69">
        <f t="shared" si="1"/>
        <v>-344.4307091076887</v>
      </c>
      <c r="I105" s="69">
        <f>B105/C86</f>
        <v>1.3790989886607416E-2</v>
      </c>
    </row>
    <row r="106" spans="1:9" ht="15" customHeight="1">
      <c r="A106" s="68">
        <v>12</v>
      </c>
      <c r="B106" s="69">
        <v>65</v>
      </c>
      <c r="C106" s="69">
        <f t="shared" si="4"/>
        <v>3.1940591480281652E-3</v>
      </c>
      <c r="D106" s="70">
        <f t="shared" si="2"/>
        <v>20.844430000031807</v>
      </c>
      <c r="E106" s="69">
        <f t="shared" si="5"/>
        <v>1.8089971021221955E-2</v>
      </c>
      <c r="F106" s="70">
        <f t="shared" si="3"/>
        <v>118.05515088449448</v>
      </c>
      <c r="G106" s="69">
        <f t="shared" si="0"/>
        <v>-373.52007620718882</v>
      </c>
      <c r="H106" s="69">
        <f t="shared" si="1"/>
        <v>-260.80584279741663</v>
      </c>
      <c r="I106" s="69">
        <f>B106/C86</f>
        <v>9.9601593625498006E-3</v>
      </c>
    </row>
    <row r="107" spans="1:9" ht="15" customHeight="1">
      <c r="A107" s="68">
        <v>13</v>
      </c>
      <c r="B107" s="69">
        <v>59</v>
      </c>
      <c r="C107" s="69">
        <f t="shared" si="4"/>
        <v>1.2158718992146161E-3</v>
      </c>
      <c r="D107" s="70">
        <f t="shared" si="2"/>
        <v>7.9347800142745841</v>
      </c>
      <c r="E107" s="69">
        <f t="shared" si="5"/>
        <v>1.5030244476663178E-2</v>
      </c>
      <c r="F107" s="70">
        <f t="shared" si="3"/>
        <v>98.087375454703903</v>
      </c>
      <c r="G107" s="69">
        <f t="shared" si="0"/>
        <v>-396.02533697465537</v>
      </c>
      <c r="H107" s="69">
        <f t="shared" si="1"/>
        <v>-247.66375775679217</v>
      </c>
      <c r="I107" s="69">
        <f>B107/C86</f>
        <v>9.040760036775973E-3</v>
      </c>
    </row>
    <row r="108" spans="1:9" ht="15" customHeight="1">
      <c r="A108" s="68">
        <v>14</v>
      </c>
      <c r="B108" s="69">
        <v>45</v>
      </c>
      <c r="C108" s="69">
        <f t="shared" si="4"/>
        <v>4.2978178478543001E-4</v>
      </c>
      <c r="D108" s="70">
        <f t="shared" si="2"/>
        <v>2.8047559275097163</v>
      </c>
      <c r="E108" s="69">
        <f t="shared" si="5"/>
        <v>1.2489070810590301E-2</v>
      </c>
      <c r="F108" s="70">
        <f t="shared" si="3"/>
        <v>81.503676109912305</v>
      </c>
      <c r="G108" s="69">
        <f t="shared" si="0"/>
        <v>-348.85048298985043</v>
      </c>
      <c r="H108" s="69">
        <f t="shared" si="1"/>
        <v>-197.23056085262618</v>
      </c>
      <c r="I108" s="69">
        <f>B108/C86</f>
        <v>6.895494943303708E-3</v>
      </c>
    </row>
    <row r="109" spans="1:9" ht="15" customHeight="1">
      <c r="A109" s="68">
        <v>15</v>
      </c>
      <c r="B109" s="69">
        <v>47</v>
      </c>
      <c r="C109" s="69">
        <f t="shared" si="4"/>
        <v>1.4178979200781962E-4</v>
      </c>
      <c r="D109" s="70">
        <f t="shared" si="2"/>
        <v>0.92532018264303084</v>
      </c>
      <c r="E109" s="69">
        <f t="shared" si="5"/>
        <v>1.0378278733975302E-2</v>
      </c>
      <c r="F109" s="70">
        <f t="shared" si="3"/>
        <v>67.728647017922825</v>
      </c>
      <c r="G109" s="69">
        <f t="shared" si="0"/>
        <v>-416.47475195058888</v>
      </c>
      <c r="H109" s="69">
        <f t="shared" si="1"/>
        <v>-214.69789129119295</v>
      </c>
      <c r="I109" s="69">
        <f>B109/C86</f>
        <v>7.2019613852283178E-3</v>
      </c>
    </row>
    <row r="110" spans="1:9" ht="15" customHeight="1">
      <c r="A110" s="68">
        <v>16</v>
      </c>
      <c r="B110" s="69">
        <v>42</v>
      </c>
      <c r="C110" s="69">
        <f t="shared" si="4"/>
        <v>4.3854402896994085E-5</v>
      </c>
      <c r="D110" s="70">
        <f t="shared" si="2"/>
        <v>0.28619383330578341</v>
      </c>
      <c r="E110" s="69">
        <f t="shared" si="5"/>
        <v>8.6247747324540262E-3</v>
      </c>
      <c r="F110" s="70">
        <f t="shared" si="3"/>
        <v>56.285279903994976</v>
      </c>
      <c r="G110" s="69">
        <f t="shared" si="0"/>
        <v>-421.45468831390622</v>
      </c>
      <c r="H110" s="69">
        <f t="shared" si="1"/>
        <v>-199.63089024404982</v>
      </c>
      <c r="I110" s="69">
        <f>B110/C86</f>
        <v>6.4357952804167942E-3</v>
      </c>
    </row>
    <row r="111" spans="1:9" ht="15" customHeight="1">
      <c r="A111" s="68">
        <v>17</v>
      </c>
      <c r="B111" s="69">
        <v>30</v>
      </c>
      <c r="C111" s="69">
        <f t="shared" si="4"/>
        <v>1.2765931221344704E-5</v>
      </c>
      <c r="D111" s="70">
        <f t="shared" si="2"/>
        <v>8.3310467150495532E-2</v>
      </c>
      <c r="E111" s="69">
        <f t="shared" si="5"/>
        <v>7.1679375640549929E-3</v>
      </c>
      <c r="F111" s="70">
        <f t="shared" si="3"/>
        <v>46.777960543022886</v>
      </c>
      <c r="G111" s="69">
        <f t="shared" si="0"/>
        <v>-338.06191676364887</v>
      </c>
      <c r="H111" s="69">
        <f t="shared" si="1"/>
        <v>-148.14411941157707</v>
      </c>
      <c r="I111" s="69">
        <f>B111/C86</f>
        <v>4.5969966288691389E-3</v>
      </c>
    </row>
    <row r="112" spans="1:9" ht="15" customHeight="1">
      <c r="A112" s="68">
        <v>18</v>
      </c>
      <c r="B112" s="69">
        <v>14</v>
      </c>
      <c r="C112" s="69">
        <f t="shared" si="4"/>
        <v>3.5096856062359729E-6</v>
      </c>
      <c r="D112" s="70">
        <f t="shared" si="2"/>
        <v>2.290420826629596E-2</v>
      </c>
      <c r="E112" s="69">
        <f t="shared" si="5"/>
        <v>5.9574721313791542E-3</v>
      </c>
      <c r="F112" s="70">
        <f t="shared" si="3"/>
        <v>38.878463129380357</v>
      </c>
      <c r="G112" s="69">
        <f t="shared" si="0"/>
        <v>-175.83977733519615</v>
      </c>
      <c r="H112" s="69">
        <f t="shared" si="1"/>
        <v>-71.723526376706715</v>
      </c>
      <c r="I112" s="69">
        <f>B112/C86</f>
        <v>2.1452650934722646E-3</v>
      </c>
    </row>
    <row r="113" spans="1:9" ht="15" customHeight="1">
      <c r="A113" s="68">
        <v>19</v>
      </c>
      <c r="B113" s="69">
        <v>28</v>
      </c>
      <c r="C113" s="69">
        <f t="shared" si="4"/>
        <v>9.1411920458563123E-7</v>
      </c>
      <c r="D113" s="70">
        <f t="shared" si="2"/>
        <v>5.9655419291258296E-3</v>
      </c>
      <c r="E113" s="69">
        <f t="shared" si="5"/>
        <v>4.9516384786682643E-3</v>
      </c>
      <c r="F113" s="70">
        <f t="shared" si="3"/>
        <v>32.31439271178909</v>
      </c>
      <c r="G113" s="69">
        <f t="shared" si="0"/>
        <v>-389.34853589028</v>
      </c>
      <c r="H113" s="69">
        <f t="shared" si="1"/>
        <v>-148.62502903864842</v>
      </c>
      <c r="I113" s="69">
        <f>B113/C86</f>
        <v>4.2905301869445292E-3</v>
      </c>
    </row>
    <row r="114" spans="1:9" ht="15" customHeight="1">
      <c r="A114" s="68">
        <v>20</v>
      </c>
      <c r="B114" s="69">
        <v>27</v>
      </c>
      <c r="C114" s="69">
        <f t="shared" si="4"/>
        <v>2.2618357119286672E-7</v>
      </c>
      <c r="D114" s="70">
        <f t="shared" si="2"/>
        <v>1.4760739856046483E-3</v>
      </c>
      <c r="E114" s="69">
        <f t="shared" si="5"/>
        <v>4.1157883333394797E-3</v>
      </c>
      <c r="F114" s="70">
        <f t="shared" si="3"/>
        <v>26.859634663373445</v>
      </c>
      <c r="G114" s="69">
        <f t="shared" si="0"/>
        <v>-413.15181044755417</v>
      </c>
      <c r="H114" s="69">
        <f t="shared" si="1"/>
        <v>-148.30897196690654</v>
      </c>
      <c r="I114" s="69">
        <f>B114/C86</f>
        <v>4.1372969659822251E-3</v>
      </c>
    </row>
    <row r="115" spans="1:9" ht="15" customHeight="1">
      <c r="A115" s="68">
        <v>21</v>
      </c>
      <c r="B115" s="69">
        <v>21</v>
      </c>
      <c r="C115" s="69">
        <f t="shared" si="4"/>
        <v>5.3300340262930922E-8</v>
      </c>
      <c r="D115" s="70">
        <f t="shared" si="2"/>
        <v>3.4783802055588718E-4</v>
      </c>
      <c r="E115" s="69">
        <f t="shared" si="5"/>
        <v>3.4211545149253645E-3</v>
      </c>
      <c r="F115" s="70">
        <f t="shared" si="3"/>
        <v>22.326454364402927</v>
      </c>
      <c r="G115" s="69">
        <f t="shared" si="0"/>
        <v>-351.69378555937675</v>
      </c>
      <c r="H115" s="69">
        <f t="shared" si="1"/>
        <v>-119.23332135562087</v>
      </c>
      <c r="I115" s="69">
        <f>B115/C86</f>
        <v>3.2178976402083971E-3</v>
      </c>
    </row>
    <row r="116" spans="1:9" ht="15" customHeight="1">
      <c r="A116" s="68">
        <v>22</v>
      </c>
      <c r="B116" s="69">
        <v>18</v>
      </c>
      <c r="C116" s="69">
        <f t="shared" si="4"/>
        <v>1.1989346730500057E-8</v>
      </c>
      <c r="D116" s="70">
        <f t="shared" si="2"/>
        <v>7.8242476763243373E-5</v>
      </c>
      <c r="E116" s="69">
        <f t="shared" si="5"/>
        <v>2.8438487011117129E-3</v>
      </c>
      <c r="F116" s="70">
        <f t="shared" si="3"/>
        <v>18.558956623455039</v>
      </c>
      <c r="G116" s="69">
        <f t="shared" si="0"/>
        <v>-328.30645237056166</v>
      </c>
      <c r="H116" s="69">
        <f t="shared" si="1"/>
        <v>-105.52674542011354</v>
      </c>
      <c r="I116" s="69">
        <f>B116/C86</f>
        <v>2.7581979773214833E-3</v>
      </c>
    </row>
    <row r="117" spans="1:9" ht="15" customHeight="1">
      <c r="A117" s="68">
        <v>23</v>
      </c>
      <c r="B117" s="69">
        <v>10</v>
      </c>
      <c r="C117" s="69">
        <f t="shared" si="4"/>
        <v>2.5796209986908508E-9</v>
      </c>
      <c r="D117" s="70">
        <f t="shared" si="2"/>
        <v>1.6834606637456491E-5</v>
      </c>
      <c r="E117" s="69">
        <f t="shared" si="5"/>
        <v>2.3640311541288576E-3</v>
      </c>
      <c r="F117" s="70">
        <f t="shared" si="3"/>
        <v>15.427667311844925</v>
      </c>
      <c r="G117" s="69">
        <f t="shared" si="0"/>
        <v>-197.75623348535936</v>
      </c>
      <c r="H117" s="69">
        <f t="shared" si="1"/>
        <v>-60.473870009596155</v>
      </c>
      <c r="I117" s="69">
        <f>B117/C86</f>
        <v>1.5323322096230463E-3</v>
      </c>
    </row>
    <row r="118" spans="1:9" ht="15" customHeight="1">
      <c r="A118" s="68">
        <v>24</v>
      </c>
      <c r="B118" s="69">
        <v>17</v>
      </c>
      <c r="C118" s="69">
        <f t="shared" si="4"/>
        <v>5.3190354066248486E-10</v>
      </c>
      <c r="D118" s="70">
        <f t="shared" si="2"/>
        <v>3.4712025063633762E-6</v>
      </c>
      <c r="E118" s="69">
        <f t="shared" si="5"/>
        <v>1.9652225462594864E-3</v>
      </c>
      <c r="F118" s="70">
        <f t="shared" si="3"/>
        <v>12.825042336889409</v>
      </c>
      <c r="G118" s="69">
        <f t="shared" si="0"/>
        <v>-363.02750227869979</v>
      </c>
      <c r="H118" s="69">
        <f t="shared" si="1"/>
        <v>-105.9465463446583</v>
      </c>
      <c r="I118" s="69">
        <f>B118/C86</f>
        <v>2.6049647563591788E-3</v>
      </c>
    </row>
    <row r="119" spans="1:9" ht="15" customHeight="1">
      <c r="A119" s="68">
        <v>25</v>
      </c>
      <c r="B119" s="69">
        <v>20</v>
      </c>
      <c r="C119" s="69">
        <f t="shared" si="4"/>
        <v>1.0528853720928561E-10</v>
      </c>
      <c r="D119" s="70">
        <f t="shared" si="2"/>
        <v>6.8711299382779786E-7</v>
      </c>
      <c r="E119" s="69">
        <f t="shared" si="5"/>
        <v>1.6337333237334487E-3</v>
      </c>
      <c r="F119" s="70">
        <f t="shared" si="3"/>
        <v>10.661743670684487</v>
      </c>
      <c r="G119" s="69">
        <f t="shared" si="0"/>
        <v>-459.48633122250942</v>
      </c>
      <c r="H119" s="69">
        <f t="shared" si="1"/>
        <v>-128.33775000866268</v>
      </c>
      <c r="I119" s="69">
        <f>B119/C86</f>
        <v>3.0646644192460926E-3</v>
      </c>
    </row>
    <row r="120" spans="1:9" ht="15" customHeight="1">
      <c r="A120" s="68">
        <v>26</v>
      </c>
      <c r="B120" s="69">
        <v>21</v>
      </c>
      <c r="C120" s="69">
        <f t="shared" si="4"/>
        <v>2.0039919076203346E-11</v>
      </c>
      <c r="D120" s="70">
        <f t="shared" si="2"/>
        <v>1.3078051189130303E-7</v>
      </c>
      <c r="E120" s="69">
        <f t="shared" si="5"/>
        <v>1.3581903691142611E-3</v>
      </c>
      <c r="F120" s="70">
        <f t="shared" si="3"/>
        <v>8.8635503488396683</v>
      </c>
      <c r="G120" s="69">
        <f t="shared" si="0"/>
        <v>-517.29919243450649</v>
      </c>
      <c r="H120" s="69">
        <f t="shared" si="1"/>
        <v>-138.63364360079629</v>
      </c>
      <c r="I120" s="69">
        <f>B120/C86</f>
        <v>3.2178976402083971E-3</v>
      </c>
    </row>
    <row r="121" spans="1:9" ht="15" customHeight="1">
      <c r="A121" s="68">
        <v>27</v>
      </c>
      <c r="B121" s="69">
        <v>4</v>
      </c>
      <c r="C121" s="69">
        <f t="shared" si="4"/>
        <v>3.6729956899807443E-12</v>
      </c>
      <c r="D121" s="70">
        <f t="shared" si="2"/>
        <v>2.3969969872814336E-8</v>
      </c>
      <c r="E121" s="69">
        <f t="shared" si="5"/>
        <v>1.129144258071329E-3</v>
      </c>
      <c r="F121" s="70">
        <f t="shared" si="3"/>
        <v>7.3687954281734926</v>
      </c>
      <c r="G121" s="69">
        <f t="shared" si="0"/>
        <v>-105.32005409009867</v>
      </c>
      <c r="H121" s="69">
        <f t="shared" si="1"/>
        <v>-27.145180907567322</v>
      </c>
      <c r="I121" s="69">
        <f>B121/C86</f>
        <v>6.1293288384921848E-4</v>
      </c>
    </row>
    <row r="122" spans="1:9" ht="15" customHeight="1">
      <c r="A122" s="68">
        <v>28</v>
      </c>
      <c r="B122" s="69">
        <v>17</v>
      </c>
      <c r="C122" s="69">
        <f t="shared" si="4"/>
        <v>6.4915828886611872E-13</v>
      </c>
      <c r="D122" s="70">
        <f t="shared" si="2"/>
        <v>4.236406993140291E-9</v>
      </c>
      <c r="E122" s="69">
        <f t="shared" si="5"/>
        <v>9.3874330831806229E-4</v>
      </c>
      <c r="F122" s="70">
        <f t="shared" si="3"/>
        <v>6.1262388300836745</v>
      </c>
      <c r="G122" s="69">
        <f t="shared" si="0"/>
        <v>-477.07269679357154</v>
      </c>
      <c r="H122" s="69">
        <f t="shared" si="1"/>
        <v>-118.50646421441729</v>
      </c>
      <c r="I122" s="69">
        <f>B122/C86</f>
        <v>2.6049647563591788E-3</v>
      </c>
    </row>
    <row r="123" spans="1:9" ht="15" customHeight="1">
      <c r="A123" s="68">
        <v>29</v>
      </c>
      <c r="B123" s="69">
        <v>9</v>
      </c>
      <c r="C123" s="69">
        <f t="shared" si="4"/>
        <v>1.1077476269421679E-13</v>
      </c>
      <c r="D123" s="70">
        <f t="shared" si="2"/>
        <v>7.2291610134245873E-10</v>
      </c>
      <c r="E123" s="69">
        <f t="shared" si="5"/>
        <v>7.8046300554565195E-4</v>
      </c>
      <c r="F123" s="70">
        <f t="shared" si="3"/>
        <v>5.0933015741909244</v>
      </c>
      <c r="G123" s="69">
        <f t="shared" si="0"/>
        <v>-268.48149678053755</v>
      </c>
      <c r="H123" s="69">
        <f t="shared" si="1"/>
        <v>-64.400608957825455</v>
      </c>
      <c r="I123" s="69">
        <f>B123/C86</f>
        <v>1.3790989886607416E-3</v>
      </c>
    </row>
    <row r="124" spans="1:9" ht="15" customHeight="1">
      <c r="A124" s="68">
        <v>30</v>
      </c>
      <c r="B124" s="69">
        <v>17</v>
      </c>
      <c r="C124" s="69">
        <f t="shared" si="4"/>
        <v>1.8272913276175968E-14</v>
      </c>
      <c r="D124" s="70">
        <f t="shared" si="2"/>
        <v>1.1924903204032437E-10</v>
      </c>
      <c r="E124" s="69">
        <f t="shared" si="5"/>
        <v>6.4888135823518123E-4</v>
      </c>
      <c r="F124" s="70">
        <f t="shared" si="3"/>
        <v>4.2345997438427929</v>
      </c>
      <c r="G124" s="69">
        <f t="shared" si="0"/>
        <v>-537.76706186694582</v>
      </c>
      <c r="H124" s="69">
        <f t="shared" si="1"/>
        <v>-124.78443130508577</v>
      </c>
      <c r="I124" s="69">
        <f>B124/C86</f>
        <v>2.6049647563591788E-3</v>
      </c>
    </row>
    <row r="125" spans="1:9" ht="15" customHeight="1">
      <c r="A125" s="68">
        <v>31</v>
      </c>
      <c r="B125" s="69">
        <v>8</v>
      </c>
      <c r="C125" s="69">
        <f t="shared" si="4"/>
        <v>2.9169858247115897E-15</v>
      </c>
      <c r="D125" s="70">
        <f t="shared" si="2"/>
        <v>1.9036249492067835E-11</v>
      </c>
      <c r="E125" s="69">
        <f t="shared" si="5"/>
        <v>5.3949235647543319E-4</v>
      </c>
      <c r="F125" s="70">
        <f t="shared" si="3"/>
        <v>3.520727118358677</v>
      </c>
      <c r="G125" s="69">
        <f t="shared" si="0"/>
        <v>-267.74580450864335</v>
      </c>
      <c r="H125" s="69">
        <f t="shared" si="1"/>
        <v>-60.1990555292792</v>
      </c>
      <c r="I125" s="69">
        <f>B125/C86</f>
        <v>1.225865767698437E-3</v>
      </c>
    </row>
    <row r="126" spans="1:9" ht="15" customHeight="1">
      <c r="A126" s="68">
        <v>32</v>
      </c>
      <c r="B126" s="69">
        <v>5</v>
      </c>
      <c r="C126" s="69">
        <f t="shared" si="4"/>
        <v>4.5109972230817499E-16</v>
      </c>
      <c r="D126" s="70">
        <f t="shared" si="2"/>
        <v>2.9438767877831498E-12</v>
      </c>
      <c r="E126" s="69">
        <f t="shared" si="5"/>
        <v>4.485510509599949E-4</v>
      </c>
      <c r="F126" s="70">
        <f t="shared" si="3"/>
        <v>2.9272441585649269</v>
      </c>
      <c r="G126" s="69">
        <f t="shared" si="0"/>
        <v>-176.67421622533419</v>
      </c>
      <c r="H126" s="69">
        <f t="shared" si="1"/>
        <v>-38.547440284726761</v>
      </c>
      <c r="I126" s="69">
        <f>B126/C86</f>
        <v>7.6616610481152316E-4</v>
      </c>
    </row>
    <row r="127" spans="1:9" ht="15" customHeight="1">
      <c r="A127" s="68">
        <v>33</v>
      </c>
      <c r="B127" s="69">
        <v>10</v>
      </c>
      <c r="C127" s="69">
        <f t="shared" si="4"/>
        <v>6.7646734887687059E-17</v>
      </c>
      <c r="D127" s="70">
        <f t="shared" si="2"/>
        <v>4.4146259187704575E-13</v>
      </c>
      <c r="E127" s="69">
        <f t="shared" si="5"/>
        <v>3.7294487726188651E-4</v>
      </c>
      <c r="F127" s="70">
        <f t="shared" si="3"/>
        <v>2.4338382690110714</v>
      </c>
      <c r="G127" s="69">
        <f t="shared" ref="G127:G158" si="6">IF(C127&gt;0, B127*LN(C127), 0)</f>
        <v>-372.32232585220009</v>
      </c>
      <c r="H127" s="69">
        <f t="shared" ref="H127:H158" si="7">IF(E127&gt;0, B127*LN(E127), 0)</f>
        <v>-78.940799313810302</v>
      </c>
      <c r="I127" s="69">
        <f>B127/C86</f>
        <v>1.5323322096230463E-3</v>
      </c>
    </row>
    <row r="128" spans="1:9" ht="15" customHeight="1">
      <c r="A128" s="68">
        <v>34</v>
      </c>
      <c r="B128" s="69">
        <v>6</v>
      </c>
      <c r="C128" s="69">
        <f t="shared" si="4"/>
        <v>9.8459163490736322E-18</v>
      </c>
      <c r="D128" s="70">
        <f t="shared" si="2"/>
        <v>6.425445009405452E-14</v>
      </c>
      <c r="E128" s="69">
        <f t="shared" si="5"/>
        <v>3.1008676815381031E-4</v>
      </c>
      <c r="F128" s="70">
        <f t="shared" si="3"/>
        <v>2.023626248971766</v>
      </c>
      <c r="G128" s="69">
        <f t="shared" si="6"/>
        <v>-234.95684933113719</v>
      </c>
      <c r="H128" s="69">
        <f t="shared" si="7"/>
        <v>-48.471950414271959</v>
      </c>
      <c r="I128" s="69">
        <f>B128/C86</f>
        <v>9.1939932577382772E-4</v>
      </c>
    </row>
    <row r="129" spans="1:9" ht="15" customHeight="1">
      <c r="A129" s="68">
        <v>35</v>
      </c>
      <c r="B129" s="69">
        <v>5</v>
      </c>
      <c r="C129" s="69">
        <f t="shared" si="4"/>
        <v>1.3921188586022195E-18</v>
      </c>
      <c r="D129" s="70">
        <f t="shared" si="2"/>
        <v>9.0849676712380835E-15</v>
      </c>
      <c r="E129" s="69">
        <f t="shared" si="5"/>
        <v>2.5782635661390427E-4</v>
      </c>
      <c r="F129" s="70">
        <f t="shared" si="3"/>
        <v>1.6825748032623393</v>
      </c>
      <c r="G129" s="69">
        <f t="shared" si="6"/>
        <v>-205.57852364349483</v>
      </c>
      <c r="H129" s="69">
        <f t="shared" si="7"/>
        <v>-41.316121180067654</v>
      </c>
      <c r="I129" s="69">
        <f>B129/C86</f>
        <v>7.6616610481152316E-4</v>
      </c>
    </row>
    <row r="130" spans="1:9" ht="15" customHeight="1">
      <c r="A130" s="68">
        <v>36</v>
      </c>
      <c r="B130" s="69">
        <v>4</v>
      </c>
      <c r="C130" s="69">
        <f t="shared" si="4"/>
        <v>1.9136479100077757E-19</v>
      </c>
      <c r="D130" s="70">
        <f t="shared" si="2"/>
        <v>1.2488466260710745E-15</v>
      </c>
      <c r="E130" s="69">
        <f t="shared" si="5"/>
        <v>2.1437620169016406E-4</v>
      </c>
      <c r="F130" s="70">
        <f t="shared" si="3"/>
        <v>1.3990190922300108</v>
      </c>
      <c r="G130" s="69">
        <f t="shared" si="6"/>
        <v>-172.40042178336708</v>
      </c>
      <c r="H130" s="69">
        <f t="shared" si="7"/>
        <v>-33.791112538031982</v>
      </c>
      <c r="I130" s="69">
        <f>B130/C86</f>
        <v>6.1293288384921848E-4</v>
      </c>
    </row>
    <row r="131" spans="1:9" ht="15" customHeight="1">
      <c r="A131" s="68">
        <v>37</v>
      </c>
      <c r="B131" s="69">
        <v>4</v>
      </c>
      <c r="C131" s="69">
        <f t="shared" si="4"/>
        <v>2.5594610851273125E-20</v>
      </c>
      <c r="D131" s="70">
        <f t="shared" si="2"/>
        <v>1.670304304154084E-16</v>
      </c>
      <c r="E131" s="69">
        <f t="shared" si="5"/>
        <v>1.7825049117461069E-4</v>
      </c>
      <c r="F131" s="70">
        <f t="shared" si="3"/>
        <v>1.1632627054055094</v>
      </c>
      <c r="G131" s="69">
        <f t="shared" si="6"/>
        <v>-180.44762054869076</v>
      </c>
      <c r="H131" s="69">
        <f t="shared" si="7"/>
        <v>-34.529282972543513</v>
      </c>
      <c r="I131" s="69">
        <f>B131/C86</f>
        <v>6.1293288384921848E-4</v>
      </c>
    </row>
    <row r="132" spans="1:9" ht="15" customHeight="1">
      <c r="A132" s="68">
        <v>38</v>
      </c>
      <c r="B132" s="69">
        <v>5</v>
      </c>
      <c r="C132" s="69">
        <f t="shared" si="4"/>
        <v>3.3331369156647325E-21</v>
      </c>
      <c r="D132" s="70">
        <f t="shared" si="2"/>
        <v>2.1752051511628045E-17</v>
      </c>
      <c r="E132" s="69">
        <f t="shared" si="5"/>
        <v>1.4821410766404906E-4</v>
      </c>
      <c r="F132" s="70">
        <f t="shared" si="3"/>
        <v>0.96724526661558419</v>
      </c>
      <c r="G132" s="69">
        <f t="shared" si="6"/>
        <v>-235.75186537792885</v>
      </c>
      <c r="H132" s="69">
        <f t="shared" si="7"/>
        <v>-44.084263281091289</v>
      </c>
      <c r="I132" s="69">
        <f>B132/C86</f>
        <v>7.6616610481152316E-4</v>
      </c>
    </row>
    <row r="133" spans="1:9" ht="15" customHeight="1">
      <c r="A133" s="68">
        <v>39</v>
      </c>
      <c r="B133" s="69">
        <v>7</v>
      </c>
      <c r="C133" s="69">
        <f t="shared" si="4"/>
        <v>4.2293805720468243E-22</v>
      </c>
      <c r="D133" s="70">
        <f t="shared" si="2"/>
        <v>2.7600937613177574E-18</v>
      </c>
      <c r="E133" s="69">
        <f t="shared" si="5"/>
        <v>1.2324030340313206E-4</v>
      </c>
      <c r="F133" s="70">
        <f t="shared" si="3"/>
        <v>0.80426622000883985</v>
      </c>
      <c r="G133" s="69">
        <f t="shared" si="6"/>
        <v>-344.50371550281477</v>
      </c>
      <c r="H133" s="69">
        <f t="shared" si="7"/>
        <v>-63.009620956452736</v>
      </c>
      <c r="I133" s="69">
        <f>B133/C86</f>
        <v>1.0726325467361323E-3</v>
      </c>
    </row>
    <row r="134" spans="1:9" ht="15" customHeight="1">
      <c r="A134" s="68">
        <v>40</v>
      </c>
      <c r="B134" s="69">
        <v>5</v>
      </c>
      <c r="C134" s="69">
        <f t="shared" si="4"/>
        <v>5.2324488804111323E-23</v>
      </c>
      <c r="D134" s="70">
        <f t="shared" si="2"/>
        <v>3.4146961393563052E-19</v>
      </c>
      <c r="E134" s="69">
        <f t="shared" si="5"/>
        <v>1.0247552698915821E-4</v>
      </c>
      <c r="F134" s="70">
        <f t="shared" si="3"/>
        <v>0.66875528913124649</v>
      </c>
      <c r="G134" s="69">
        <f t="shared" si="6"/>
        <v>-256.52288866601367</v>
      </c>
      <c r="H134" s="69">
        <f t="shared" si="7"/>
        <v>-45.929432744875797</v>
      </c>
      <c r="I134" s="69">
        <f>B134/C86</f>
        <v>7.6616610481152316E-4</v>
      </c>
    </row>
    <row r="135" spans="1:9" ht="15" customHeight="1">
      <c r="A135" s="68">
        <v>41</v>
      </c>
      <c r="B135" s="69">
        <v>2</v>
      </c>
      <c r="C135" s="69">
        <f t="shared" si="4"/>
        <v>6.3155235191645245E-24</v>
      </c>
      <c r="D135" s="70">
        <f t="shared" si="2"/>
        <v>4.1215106486067688E-20</v>
      </c>
      <c r="E135" s="69">
        <f t="shared" si="5"/>
        <v>8.5210192040187293E-5</v>
      </c>
      <c r="F135" s="70">
        <f t="shared" si="3"/>
        <v>0.55608171325426226</v>
      </c>
      <c r="G135" s="69">
        <f t="shared" si="6"/>
        <v>-106.83806315718748</v>
      </c>
      <c r="H135" s="69">
        <f t="shared" si="7"/>
        <v>-18.740779012797326</v>
      </c>
      <c r="I135" s="69">
        <f>B135/C86</f>
        <v>3.0646644192460924E-4</v>
      </c>
    </row>
    <row r="136" spans="1:9" ht="15" customHeight="1">
      <c r="A136" s="68">
        <v>42</v>
      </c>
      <c r="B136" s="69">
        <v>8</v>
      </c>
      <c r="C136" s="69">
        <f t="shared" si="4"/>
        <v>7.4412909552784582E-25</v>
      </c>
      <c r="D136" s="70">
        <f t="shared" si="2"/>
        <v>4.8561864774147216E-21</v>
      </c>
      <c r="E136" s="69">
        <f t="shared" si="5"/>
        <v>7.0854382951981469E-5</v>
      </c>
      <c r="F136" s="70">
        <f t="shared" si="3"/>
        <v>0.46239570314463108</v>
      </c>
      <c r="G136" s="69">
        <f t="shared" si="6"/>
        <v>-444.46066380451038</v>
      </c>
      <c r="H136" s="69">
        <f t="shared" si="7"/>
        <v>-76.439069850621578</v>
      </c>
      <c r="I136" s="69">
        <f>B136/C86</f>
        <v>1.225865767698437E-3</v>
      </c>
    </row>
    <row r="137" spans="1:9" ht="15" customHeight="1">
      <c r="A137" s="68">
        <v>43</v>
      </c>
      <c r="B137" s="69">
        <v>1</v>
      </c>
      <c r="C137" s="69">
        <f t="shared" si="4"/>
        <v>8.5638302389981335E-26</v>
      </c>
      <c r="D137" s="70">
        <f t="shared" si="2"/>
        <v>5.5887556139701824E-22</v>
      </c>
      <c r="E137" s="69">
        <f t="shared" si="5"/>
        <v>5.8917663065503882E-5</v>
      </c>
      <c r="F137" s="70">
        <f t="shared" si="3"/>
        <v>0.38449666916547831</v>
      </c>
      <c r="G137" s="69">
        <f t="shared" si="6"/>
        <v>-57.719664869944054</v>
      </c>
      <c r="H137" s="69">
        <f t="shared" si="7"/>
        <v>-9.7393696299958137</v>
      </c>
      <c r="I137" s="69">
        <f>B137/C86</f>
        <v>1.5323322096230462E-4</v>
      </c>
    </row>
    <row r="138" spans="1:9" ht="15" customHeight="1">
      <c r="A138" s="68">
        <v>44</v>
      </c>
      <c r="B138" s="69">
        <v>4</v>
      </c>
      <c r="C138" s="69">
        <f t="shared" si="4"/>
        <v>9.6317143164560199E-27</v>
      </c>
      <c r="D138" s="70">
        <f t="shared" si="2"/>
        <v>6.285656762919199E-23</v>
      </c>
      <c r="E138" s="69">
        <f t="shared" si="5"/>
        <v>4.8992291873399691E-5</v>
      </c>
      <c r="F138" s="70">
        <f t="shared" si="3"/>
        <v>0.31972369676580636</v>
      </c>
      <c r="G138" s="69">
        <f t="shared" si="6"/>
        <v>-239.61894513019604</v>
      </c>
      <c r="H138" s="69">
        <f t="shared" si="7"/>
        <v>-39.695390323736355</v>
      </c>
      <c r="I138" s="69">
        <f>B138/C86</f>
        <v>6.1293288384921848E-4</v>
      </c>
    </row>
    <row r="139" spans="1:9" ht="15" customHeight="1">
      <c r="A139" s="68">
        <v>45</v>
      </c>
      <c r="B139" s="69">
        <v>7</v>
      </c>
      <c r="C139" s="69">
        <f t="shared" si="4"/>
        <v>1.0592032344125963E-27</v>
      </c>
      <c r="D139" s="70">
        <f t="shared" si="2"/>
        <v>6.9123603077766026E-24</v>
      </c>
      <c r="E139" s="69">
        <f t="shared" si="5"/>
        <v>4.0739275230913829E-5</v>
      </c>
      <c r="F139" s="70">
        <f t="shared" si="3"/>
        <v>0.26586451015694362</v>
      </c>
      <c r="G139" s="69">
        <f t="shared" si="6"/>
        <v>-434.78596385704213</v>
      </c>
      <c r="H139" s="69">
        <f t="shared" si="7"/>
        <v>-70.758225562037836</v>
      </c>
      <c r="I139" s="69">
        <f>B139/C86</f>
        <v>1.0726325467361323E-3</v>
      </c>
    </row>
    <row r="140" spans="1:9" ht="15" customHeight="1">
      <c r="A140" s="68">
        <v>46</v>
      </c>
      <c r="B140" s="69">
        <v>2</v>
      </c>
      <c r="C140" s="69">
        <f t="shared" si="4"/>
        <v>1.1394878164717317E-28</v>
      </c>
      <c r="D140" s="70">
        <f t="shared" si="2"/>
        <v>7.4362974902945211E-25</v>
      </c>
      <c r="E140" s="69">
        <f t="shared" si="5"/>
        <v>3.3876769981859358E-5</v>
      </c>
      <c r="F140" s="70">
        <f t="shared" si="3"/>
        <v>0.22107980090161417</v>
      </c>
      <c r="G140" s="69">
        <f t="shared" si="6"/>
        <v>-128.68360745236362</v>
      </c>
      <c r="H140" s="69">
        <f t="shared" si="7"/>
        <v>-20.585562059484843</v>
      </c>
      <c r="I140" s="69">
        <f>B140/C86</f>
        <v>3.0646644192460924E-4</v>
      </c>
    </row>
    <row r="141" spans="1:9" ht="15" customHeight="1">
      <c r="A141" s="68">
        <v>47</v>
      </c>
      <c r="B141" s="69">
        <v>4</v>
      </c>
      <c r="C141" s="69">
        <f t="shared" si="4"/>
        <v>1.1997756611183606E-29</v>
      </c>
      <c r="D141" s="70">
        <f t="shared" si="2"/>
        <v>7.8297359644584215E-26</v>
      </c>
      <c r="E141" s="69">
        <f t="shared" si="5"/>
        <v>2.8170445344531865E-5</v>
      </c>
      <c r="F141" s="70">
        <f t="shared" si="3"/>
        <v>0.18384032631841496</v>
      </c>
      <c r="G141" s="69">
        <f t="shared" si="6"/>
        <v>-266.37133242631421</v>
      </c>
      <c r="H141" s="69">
        <f t="shared" si="7"/>
        <v>-41.908948668093586</v>
      </c>
      <c r="I141" s="69">
        <f>B141/C86</f>
        <v>6.1293288384921848E-4</v>
      </c>
    </row>
    <row r="142" spans="1:9" ht="15" customHeight="1">
      <c r="A142" s="68">
        <v>48</v>
      </c>
      <c r="B142" s="69">
        <v>1</v>
      </c>
      <c r="C142" s="69">
        <f t="shared" si="4"/>
        <v>1.2369354305795234E-30</v>
      </c>
      <c r="D142" s="70">
        <f t="shared" si="2"/>
        <v>8.0722406199619702E-27</v>
      </c>
      <c r="E142" s="69">
        <f t="shared" si="5"/>
        <v>2.3425470629953306E-5</v>
      </c>
      <c r="F142" s="70">
        <f t="shared" si="3"/>
        <v>0.15287462133107527</v>
      </c>
      <c r="G142" s="69">
        <f t="shared" si="6"/>
        <v>-68.864915896173144</v>
      </c>
      <c r="H142" s="69">
        <f t="shared" si="7"/>
        <v>-10.661686639115107</v>
      </c>
      <c r="I142" s="69">
        <f>B142/C86</f>
        <v>1.5323322096230462E-4</v>
      </c>
    </row>
    <row r="143" spans="1:9" ht="15" customHeight="1">
      <c r="A143" s="68">
        <v>49</v>
      </c>
      <c r="B143" s="69">
        <v>2</v>
      </c>
      <c r="C143" s="69">
        <f t="shared" si="4"/>
        <v>1.2492206911933335E-31</v>
      </c>
      <c r="D143" s="70">
        <f t="shared" si="2"/>
        <v>8.1524142307276946E-28</v>
      </c>
      <c r="E143" s="69">
        <f t="shared" si="5"/>
        <v>1.9479854711728979E-5</v>
      </c>
      <c r="F143" s="70">
        <f t="shared" si="3"/>
        <v>0.12712553184874331</v>
      </c>
      <c r="G143" s="69">
        <f t="shared" si="6"/>
        <v>-142.31523594594091</v>
      </c>
      <c r="H143" s="69">
        <f t="shared" si="7"/>
        <v>-21.692259436215664</v>
      </c>
      <c r="I143" s="69">
        <f>B143/C86</f>
        <v>3.0646644192460924E-4</v>
      </c>
    </row>
    <row r="144" spans="1:9" ht="15" customHeight="1">
      <c r="A144" s="68">
        <v>50</v>
      </c>
      <c r="B144" s="69">
        <v>2</v>
      </c>
      <c r="C144" s="69">
        <f t="shared" si="4"/>
        <v>1.2363954098096447E-32</v>
      </c>
      <c r="D144" s="70">
        <f t="shared" si="2"/>
        <v>8.0687164444177413E-29</v>
      </c>
      <c r="E144" s="69">
        <f t="shared" si="5"/>
        <v>1.6198909063317999E-5</v>
      </c>
      <c r="F144" s="70">
        <f t="shared" si="3"/>
        <v>0.10571408054721326</v>
      </c>
      <c r="G144" s="69">
        <f t="shared" si="6"/>
        <v>-146.94104551417061</v>
      </c>
      <c r="H144" s="69">
        <f t="shared" si="7"/>
        <v>-22.061133319527976</v>
      </c>
      <c r="I144" s="69">
        <f>B144/C86</f>
        <v>3.0646644192460924E-4</v>
      </c>
    </row>
    <row r="145" spans="1:9" ht="15" customHeight="1">
      <c r="A145" s="68">
        <v>51</v>
      </c>
      <c r="B145" s="69">
        <v>3</v>
      </c>
      <c r="C145" s="69">
        <f t="shared" si="4"/>
        <v>1.1997076478340776E-33</v>
      </c>
      <c r="D145" s="70">
        <f t="shared" si="2"/>
        <v>7.8292921097651912E-30</v>
      </c>
      <c r="E145" s="69">
        <f t="shared" si="5"/>
        <v>1.3470644726578411E-5</v>
      </c>
      <c r="F145" s="70">
        <f t="shared" si="3"/>
        <v>8.7909427485650712E-2</v>
      </c>
      <c r="G145" s="69">
        <f t="shared" si="6"/>
        <v>-227.40969050548892</v>
      </c>
      <c r="H145" s="69">
        <f t="shared" si="7"/>
        <v>-33.644993114396755</v>
      </c>
      <c r="I145" s="69">
        <f>B145/C86</f>
        <v>4.5969966288691386E-4</v>
      </c>
    </row>
    <row r="146" spans="1:9" ht="15" customHeight="1">
      <c r="A146" s="68">
        <v>52</v>
      </c>
      <c r="B146" s="69">
        <v>1</v>
      </c>
      <c r="C146" s="69">
        <f t="shared" si="4"/>
        <v>1.1417218253259607E-34</v>
      </c>
      <c r="D146" s="70">
        <f t="shared" si="2"/>
        <v>7.4508766320772197E-31</v>
      </c>
      <c r="E146" s="69">
        <f t="shared" si="5"/>
        <v>1.1201945604767059E-5</v>
      </c>
      <c r="F146" s="70">
        <f t="shared" si="3"/>
        <v>7.3103897016709829E-2</v>
      </c>
      <c r="G146" s="69">
        <f t="shared" si="6"/>
        <v>-78.155355665764446</v>
      </c>
      <c r="H146" s="69">
        <f t="shared" si="7"/>
        <v>-11.399423080038535</v>
      </c>
      <c r="I146" s="69">
        <f>B146/C86</f>
        <v>1.5323322096230462E-4</v>
      </c>
    </row>
    <row r="147" spans="1:9" ht="15" customHeight="1">
      <c r="A147" s="68">
        <v>53</v>
      </c>
      <c r="B147" s="69">
        <v>1</v>
      </c>
      <c r="C147" s="69">
        <f t="shared" si="4"/>
        <v>1.0660379194080544E-35</v>
      </c>
      <c r="D147" s="70">
        <f t="shared" si="2"/>
        <v>6.9569634620569631E-32</v>
      </c>
      <c r="E147" s="69">
        <f t="shared" si="5"/>
        <v>9.3153870876790418E-6</v>
      </c>
      <c r="F147" s="70">
        <f t="shared" si="3"/>
        <v>6.079221613419343E-2</v>
      </c>
      <c r="G147" s="69">
        <f t="shared" si="6"/>
        <v>-80.526529358003259</v>
      </c>
      <c r="H147" s="69">
        <f t="shared" si="7"/>
        <v>-11.583842999467729</v>
      </c>
      <c r="I147" s="69">
        <f>B147/C86</f>
        <v>1.5323322096230462E-4</v>
      </c>
    </row>
    <row r="148" spans="1:9" ht="15" customHeight="1">
      <c r="A148" s="68">
        <v>54</v>
      </c>
      <c r="B148" s="69">
        <v>3</v>
      </c>
      <c r="C148" s="69">
        <f t="shared" si="4"/>
        <v>9.7693824721862168E-37</v>
      </c>
      <c r="D148" s="70">
        <f t="shared" si="2"/>
        <v>6.375499001348725E-33</v>
      </c>
      <c r="E148" s="69">
        <f t="shared" si="5"/>
        <v>7.746591132905851E-6</v>
      </c>
      <c r="F148" s="70">
        <f t="shared" si="3"/>
        <v>5.0554253733343581E-2</v>
      </c>
      <c r="G148" s="69">
        <f t="shared" si="6"/>
        <v>-248.74918554976267</v>
      </c>
      <c r="H148" s="69">
        <f t="shared" si="7"/>
        <v>-35.304772995545051</v>
      </c>
      <c r="I148" s="69">
        <f>B148/C86</f>
        <v>4.5969966288691386E-4</v>
      </c>
    </row>
    <row r="149" spans="1:9" ht="15" customHeight="1">
      <c r="A149" s="68">
        <v>55</v>
      </c>
      <c r="B149" s="69">
        <v>2</v>
      </c>
      <c r="C149" s="69">
        <f t="shared" si="4"/>
        <v>8.790076252730446E-38</v>
      </c>
      <c r="D149" s="70">
        <f t="shared" si="2"/>
        <v>5.7364037625318888E-34</v>
      </c>
      <c r="E149" s="69">
        <f t="shared" si="5"/>
        <v>6.442027306436837E-6</v>
      </c>
      <c r="F149" s="70">
        <f t="shared" si="3"/>
        <v>4.2040670201806796E-2</v>
      </c>
      <c r="G149" s="69">
        <f t="shared" si="6"/>
        <v>-170.64922029434678</v>
      </c>
      <c r="H149" s="69">
        <f t="shared" si="7"/>
        <v>-23.905334536501417</v>
      </c>
      <c r="I149" s="69">
        <f>B149/C86</f>
        <v>3.0646644192460924E-4</v>
      </c>
    </row>
    <row r="150" spans="1:9" ht="15" customHeight="1">
      <c r="A150" s="68">
        <v>56</v>
      </c>
      <c r="B150" s="69">
        <v>2</v>
      </c>
      <c r="C150" s="69">
        <f t="shared" si="4"/>
        <v>7.7677069902239879E-39</v>
      </c>
      <c r="D150" s="70">
        <f t="shared" si="2"/>
        <v>5.0692055818201746E-35</v>
      </c>
      <c r="E150" s="69">
        <f t="shared" si="5"/>
        <v>5.3571845601733987E-6</v>
      </c>
      <c r="F150" s="70">
        <f t="shared" si="3"/>
        <v>3.4960986439691602E-2</v>
      </c>
      <c r="G150" s="69">
        <f t="shared" si="6"/>
        <v>-175.50168723319047</v>
      </c>
      <c r="H150" s="69">
        <f t="shared" si="7"/>
        <v>-24.274143979015641</v>
      </c>
      <c r="I150" s="69">
        <f>B150/C86</f>
        <v>3.0646644192460924E-4</v>
      </c>
    </row>
    <row r="151" spans="1:9" ht="15" customHeight="1">
      <c r="A151" s="68">
        <v>57</v>
      </c>
      <c r="B151" s="69">
        <v>1</v>
      </c>
      <c r="C151" s="69">
        <f t="shared" si="4"/>
        <v>6.743823551926805E-40</v>
      </c>
      <c r="D151" s="70">
        <f t="shared" si="2"/>
        <v>4.4010192499874333E-36</v>
      </c>
      <c r="E151" s="69">
        <f t="shared" si="5"/>
        <v>4.4550512184236713E-6</v>
      </c>
      <c r="F151" s="70">
        <f t="shared" si="3"/>
        <v>2.9073664251432877E-2</v>
      </c>
      <c r="G151" s="69">
        <f t="shared" si="6"/>
        <v>-90.194776663116471</v>
      </c>
      <c r="H151" s="69">
        <f t="shared" si="7"/>
        <v>-12.32147200026726</v>
      </c>
      <c r="I151" s="69">
        <f>B151/C86</f>
        <v>1.5323322096230462E-4</v>
      </c>
    </row>
    <row r="152" spans="1:9" ht="15" customHeight="1">
      <c r="A152" s="68">
        <v>58</v>
      </c>
      <c r="B152" s="69">
        <v>1</v>
      </c>
      <c r="C152" s="69">
        <f t="shared" si="4"/>
        <v>5.7539545164032506E-41</v>
      </c>
      <c r="D152" s="70">
        <f t="shared" si="2"/>
        <v>3.7550307174047614E-37</v>
      </c>
      <c r="E152" s="69">
        <f t="shared" si="5"/>
        <v>3.7048511962396611E-6</v>
      </c>
      <c r="F152" s="70">
        <f t="shared" si="3"/>
        <v>2.4177858906660028E-2</v>
      </c>
      <c r="G152" s="69">
        <f t="shared" si="6"/>
        <v>-92.656101452349588</v>
      </c>
      <c r="H152" s="69">
        <f t="shared" si="7"/>
        <v>-12.505867462981033</v>
      </c>
      <c r="I152" s="69">
        <f>B152/C86</f>
        <v>1.5323322096230462E-4</v>
      </c>
    </row>
    <row r="153" spans="1:9" ht="15" customHeight="1">
      <c r="A153" s="68">
        <v>61</v>
      </c>
      <c r="B153" s="69">
        <v>2</v>
      </c>
      <c r="C153" s="69">
        <f t="shared" si="4"/>
        <v>4.6679350971207975E-42</v>
      </c>
      <c r="D153" s="70">
        <f t="shared" si="2"/>
        <v>3.0462944443810322E-38</v>
      </c>
      <c r="E153" s="69">
        <f t="shared" si="5"/>
        <v>3.0810189851316827E-6</v>
      </c>
      <c r="F153" s="70">
        <f t="shared" si="3"/>
        <v>2.010672989696936E-2</v>
      </c>
      <c r="G153" s="69">
        <f t="shared" si="6"/>
        <v>-190.33571419041917</v>
      </c>
      <c r="H153" s="69">
        <f t="shared" si="7"/>
        <v>-25.380500352731172</v>
      </c>
      <c r="I153" s="69">
        <f>B153/C86</f>
        <v>3.0646644192460924E-4</v>
      </c>
    </row>
    <row r="154" spans="1:9" ht="15" customHeight="1">
      <c r="A154" s="68">
        <v>62</v>
      </c>
      <c r="B154" s="69">
        <v>1</v>
      </c>
      <c r="C154" s="69">
        <f t="shared" si="4"/>
        <v>3.7258154469347459E-43</v>
      </c>
      <c r="D154" s="70">
        <f t="shared" si="2"/>
        <v>2.4314671606696152E-39</v>
      </c>
      <c r="E154" s="69">
        <f t="shared" si="5"/>
        <v>2.5622394052427807E-6</v>
      </c>
      <c r="F154" s="70">
        <f t="shared" si="3"/>
        <v>1.6721174358614387E-2</v>
      </c>
      <c r="G154" s="69">
        <f t="shared" si="6"/>
        <v>-97.695873258941376</v>
      </c>
      <c r="H154" s="69">
        <f t="shared" si="7"/>
        <v>-12.874628914186099</v>
      </c>
      <c r="I154" s="69">
        <f>B154/C86</f>
        <v>1.5323322096230462E-4</v>
      </c>
    </row>
    <row r="155" spans="1:9" ht="15" customHeight="1">
      <c r="A155" s="68">
        <v>64</v>
      </c>
      <c r="B155" s="69">
        <v>3</v>
      </c>
      <c r="C155" s="69">
        <f t="shared" si="4"/>
        <v>2.8809092921285439E-44</v>
      </c>
      <c r="D155" s="70">
        <f t="shared" si="2"/>
        <v>1.8800814040430876E-40</v>
      </c>
      <c r="E155" s="69">
        <f t="shared" si="5"/>
        <v>2.1308276755899666E-6</v>
      </c>
      <c r="F155" s="70">
        <f t="shared" si="3"/>
        <v>1.3905781410900122E-2</v>
      </c>
      <c r="G155" s="69">
        <f t="shared" si="6"/>
        <v>-300.76691436296323</v>
      </c>
      <c r="H155" s="69">
        <f t="shared" si="7"/>
        <v>-39.177000220894335</v>
      </c>
      <c r="I155" s="69">
        <f>B155/C86</f>
        <v>4.5969966288691386E-4</v>
      </c>
    </row>
    <row r="156" spans="1:9" ht="15" customHeight="1">
      <c r="A156" s="68">
        <v>66</v>
      </c>
      <c r="B156" s="69">
        <v>1</v>
      </c>
      <c r="C156" s="69">
        <f t="shared" si="4"/>
        <v>2.1601000564012324E-45</v>
      </c>
      <c r="D156" s="70">
        <f t="shared" si="2"/>
        <v>1.4096812968074443E-41</v>
      </c>
      <c r="E156" s="69">
        <f t="shared" si="5"/>
        <v>1.7720666138011291E-6</v>
      </c>
      <c r="F156" s="70">
        <f t="shared" si="3"/>
        <v>1.1564506721666168E-2</v>
      </c>
      <c r="G156" s="69">
        <f t="shared" si="6"/>
        <v>-102.84617464170086</v>
      </c>
      <c r="H156" s="69">
        <f t="shared" si="7"/>
        <v>-13.243364114049403</v>
      </c>
      <c r="I156" s="69">
        <f>B156/C86</f>
        <v>1.5323322096230462E-4</v>
      </c>
    </row>
    <row r="157" spans="1:9" ht="15" customHeight="1">
      <c r="A157" s="68">
        <v>67</v>
      </c>
      <c r="B157" s="69">
        <v>1</v>
      </c>
      <c r="C157" s="69">
        <f t="shared" si="4"/>
        <v>1.5954650130014454E-46</v>
      </c>
      <c r="D157" s="70">
        <f t="shared" si="2"/>
        <v>1.0412004674847432E-42</v>
      </c>
      <c r="E157" s="69">
        <f t="shared" si="5"/>
        <v>1.4737140862437244E-6</v>
      </c>
      <c r="F157" s="70">
        <f t="shared" si="3"/>
        <v>9.6174581268265464E-3</v>
      </c>
      <c r="G157" s="69">
        <f t="shared" si="6"/>
        <v>-105.45174903977852</v>
      </c>
      <c r="H157" s="69">
        <f t="shared" si="7"/>
        <v>-13.427724754352759</v>
      </c>
      <c r="I157" s="69">
        <f>B157/C86</f>
        <v>1.5323322096230462E-4</v>
      </c>
    </row>
    <row r="158" spans="1:9" ht="15" customHeight="1">
      <c r="A158" s="68">
        <v>70</v>
      </c>
      <c r="B158" s="69">
        <v>3</v>
      </c>
      <c r="C158" s="69">
        <f t="shared" si="4"/>
        <v>1.1279178362348776E-47</v>
      </c>
      <c r="D158" s="70">
        <f t="shared" si="2"/>
        <v>7.3607917992688107E-44</v>
      </c>
      <c r="E158" s="69">
        <f t="shared" si="5"/>
        <v>1.2256052219353185E-6</v>
      </c>
      <c r="F158" s="70">
        <f t="shared" si="3"/>
        <v>7.9982996783498888E-3</v>
      </c>
      <c r="G158" s="69">
        <f t="shared" si="6"/>
        <v>-324.30337818154368</v>
      </c>
      <c r="H158" s="69">
        <f t="shared" si="7"/>
        <v>-40.836227331755104</v>
      </c>
      <c r="I158" s="69">
        <f>B158/C86</f>
        <v>4.5969966288691386E-4</v>
      </c>
    </row>
    <row r="159" spans="1:9" ht="15" customHeight="1">
      <c r="A159" s="68">
        <v>71</v>
      </c>
      <c r="B159" s="69">
        <v>2</v>
      </c>
      <c r="C159" s="69">
        <f t="shared" si="4"/>
        <v>7.8615346892398716E-49</v>
      </c>
      <c r="D159" s="70">
        <f t="shared" si="2"/>
        <v>5.1304375381979404E-45</v>
      </c>
      <c r="E159" s="69">
        <f t="shared" si="5"/>
        <v>1.0192701000836107E-6</v>
      </c>
      <c r="F159" s="70">
        <f t="shared" si="3"/>
        <v>6.6517566731456434E-3</v>
      </c>
      <c r="G159" s="69">
        <f t="shared" ref="G159:G174" si="8">IF(C159&gt;0, B159*LN(C159), 0)</f>
        <v>-221.52937543248515</v>
      </c>
      <c r="H159" s="69">
        <f t="shared" ref="H159:H174" si="9">IF(E159&gt;0, B159*LN(E159), 0)</f>
        <v>-27.592847549953657</v>
      </c>
      <c r="I159" s="69">
        <f>B159/C86</f>
        <v>3.0646644192460924E-4</v>
      </c>
    </row>
    <row r="160" spans="1:9" ht="15" customHeight="1">
      <c r="A160" s="68">
        <v>72</v>
      </c>
      <c r="B160" s="69">
        <v>1</v>
      </c>
      <c r="C160" s="69">
        <f t="shared" si="4"/>
        <v>5.4033494821781607E-50</v>
      </c>
      <c r="D160" s="70">
        <f t="shared" ref="D160:D174" si="10">C160*$C$86</f>
        <v>3.5262258720694675E-46</v>
      </c>
      <c r="E160" s="69">
        <f t="shared" si="5"/>
        <v>8.4767474380114443E-7</v>
      </c>
      <c r="F160" s="70">
        <f t="shared" ref="F160:F174" si="11">E160*$C$86</f>
        <v>5.5319253780462688E-3</v>
      </c>
      <c r="G160" s="69">
        <f t="shared" si="8"/>
        <v>-113.44223561394531</v>
      </c>
      <c r="H160" s="69">
        <f t="shared" si="9"/>
        <v>-13.98076883156952</v>
      </c>
      <c r="I160" s="69">
        <f>B160/C86</f>
        <v>1.5323322096230462E-4</v>
      </c>
    </row>
    <row r="161" spans="1:9" ht="15" customHeight="1">
      <c r="A161" s="68">
        <v>74</v>
      </c>
      <c r="B161" s="69">
        <v>1</v>
      </c>
      <c r="C161" s="69">
        <f t="shared" ref="C161:C174" si="12">($B$91/A161) * C160</f>
        <v>3.6134292668607007E-51</v>
      </c>
      <c r="D161" s="70">
        <f t="shared" si="10"/>
        <v>2.3581239395532931E-47</v>
      </c>
      <c r="E161" s="69">
        <f t="shared" ref="E161:E174" si="13">(($B$89 + A161 - 1)/(A161*($B$90+1))) * E160</f>
        <v>7.0497165233831417E-7</v>
      </c>
      <c r="F161" s="70">
        <f t="shared" si="11"/>
        <v>4.6006450031598383E-3</v>
      </c>
      <c r="G161" s="69">
        <f t="shared" si="8"/>
        <v>-116.14718248583618</v>
      </c>
      <c r="H161" s="69">
        <f t="shared" si="9"/>
        <v>-14.165108244391764</v>
      </c>
      <c r="I161" s="69">
        <f>B161/C86</f>
        <v>1.5323322096230462E-4</v>
      </c>
    </row>
    <row r="162" spans="1:9" ht="15" customHeight="1">
      <c r="A162" s="68">
        <v>76</v>
      </c>
      <c r="B162" s="69">
        <v>1</v>
      </c>
      <c r="C162" s="69">
        <f t="shared" si="12"/>
        <v>2.3528496978334908E-52</v>
      </c>
      <c r="D162" s="70">
        <f t="shared" si="10"/>
        <v>1.5354697128061362E-48</v>
      </c>
      <c r="E162" s="69">
        <f t="shared" si="13"/>
        <v>5.8629526415903719E-7</v>
      </c>
      <c r="F162" s="70">
        <f t="shared" si="11"/>
        <v>3.8261628939018767E-3</v>
      </c>
      <c r="G162" s="69">
        <f t="shared" si="8"/>
        <v>-118.87879760480921</v>
      </c>
      <c r="H162" s="69">
        <f t="shared" si="9"/>
        <v>-14.349442310513492</v>
      </c>
      <c r="I162" s="69">
        <f>B162/C86</f>
        <v>1.5323322096230462E-4</v>
      </c>
    </row>
    <row r="163" spans="1:9" ht="15" customHeight="1">
      <c r="A163" s="68">
        <v>82</v>
      </c>
      <c r="B163" s="69">
        <v>1</v>
      </c>
      <c r="C163" s="69">
        <f t="shared" si="12"/>
        <v>1.4199352868363802E-53</v>
      </c>
      <c r="D163" s="70">
        <f t="shared" si="10"/>
        <v>9.2664976818942167E-50</v>
      </c>
      <c r="E163" s="69">
        <f t="shared" si="13"/>
        <v>4.8760416303647404E-7</v>
      </c>
      <c r="F163" s="70">
        <f t="shared" si="11"/>
        <v>3.1821047679760298E-3</v>
      </c>
      <c r="G163" s="69">
        <f t="shared" si="8"/>
        <v>-121.68639863076015</v>
      </c>
      <c r="H163" s="69">
        <f t="shared" si="9"/>
        <v>-14.533761901565089</v>
      </c>
      <c r="I163" s="69">
        <f>B163/C86</f>
        <v>1.5323322096230462E-4</v>
      </c>
    </row>
    <row r="164" spans="1:9" ht="15" customHeight="1">
      <c r="A164" s="68">
        <v>83</v>
      </c>
      <c r="B164" s="69">
        <v>1</v>
      </c>
      <c r="C164" s="69">
        <f t="shared" si="12"/>
        <v>8.4660080878304942E-55</v>
      </c>
      <c r="D164" s="70">
        <f t="shared" si="10"/>
        <v>5.5249168781181806E-51</v>
      </c>
      <c r="E164" s="69">
        <f t="shared" si="13"/>
        <v>4.0552663403463473E-7</v>
      </c>
      <c r="F164" s="70">
        <f t="shared" si="11"/>
        <v>2.6464668137100261E-3</v>
      </c>
      <c r="G164" s="69">
        <f t="shared" si="8"/>
        <v>-124.50612101724344</v>
      </c>
      <c r="H164" s="69">
        <f t="shared" si="9"/>
        <v>-14.718079283588267</v>
      </c>
      <c r="I164" s="69">
        <f>B164/C86</f>
        <v>1.5323322096230462E-4</v>
      </c>
    </row>
    <row r="165" spans="1:9" ht="15" customHeight="1">
      <c r="A165" s="68">
        <v>85</v>
      </c>
      <c r="B165" s="69">
        <v>1</v>
      </c>
      <c r="C165" s="69">
        <f t="shared" si="12"/>
        <v>4.9288769121971088E-56</v>
      </c>
      <c r="D165" s="70">
        <f t="shared" si="10"/>
        <v>3.2165850728998334E-52</v>
      </c>
      <c r="E165" s="69">
        <f t="shared" si="13"/>
        <v>3.3726650486533931E-7</v>
      </c>
      <c r="F165" s="70">
        <f t="shared" si="11"/>
        <v>2.2010012107512044E-3</v>
      </c>
      <c r="G165" s="69">
        <f t="shared" si="8"/>
        <v>-127.34965405242045</v>
      </c>
      <c r="H165" s="69">
        <f t="shared" si="9"/>
        <v>-14.902392403499814</v>
      </c>
      <c r="I165" s="69">
        <f>B165/C86</f>
        <v>1.5323322096230462E-4</v>
      </c>
    </row>
    <row r="166" spans="1:9" ht="15" customHeight="1">
      <c r="A166" s="68">
        <v>90</v>
      </c>
      <c r="B166" s="69">
        <v>1</v>
      </c>
      <c r="C166" s="69">
        <f t="shared" si="12"/>
        <v>2.7101522096129266E-57</v>
      </c>
      <c r="D166" s="70">
        <f t="shared" si="10"/>
        <v>1.768645331993396E-53</v>
      </c>
      <c r="E166" s="69">
        <f t="shared" si="13"/>
        <v>2.8049899442002469E-7</v>
      </c>
      <c r="F166" s="70">
        <f t="shared" si="11"/>
        <v>1.8305364375850812E-3</v>
      </c>
      <c r="G166" s="69">
        <f t="shared" si="8"/>
        <v>-130.25034550143741</v>
      </c>
      <c r="H166" s="69">
        <f t="shared" si="9"/>
        <v>-15.086695696945435</v>
      </c>
      <c r="I166" s="69">
        <f>B166/C86</f>
        <v>1.5323322096230462E-4</v>
      </c>
    </row>
    <row r="167" spans="1:9" ht="15" customHeight="1">
      <c r="A167" s="68">
        <v>104</v>
      </c>
      <c r="B167" s="69">
        <v>1</v>
      </c>
      <c r="C167" s="69">
        <f t="shared" si="12"/>
        <v>1.2895808129825294E-58</v>
      </c>
      <c r="D167" s="70">
        <f t="shared" si="10"/>
        <v>8.4158043855239866E-55</v>
      </c>
      <c r="E167" s="69">
        <f t="shared" si="13"/>
        <v>2.3329163743065466E-7</v>
      </c>
      <c r="F167" s="70">
        <f t="shared" si="11"/>
        <v>1.5224612258724524E-3</v>
      </c>
      <c r="G167" s="69">
        <f t="shared" si="8"/>
        <v>-133.29561817926549</v>
      </c>
      <c r="H167" s="69">
        <f t="shared" si="9"/>
        <v>-15.270976503265045</v>
      </c>
      <c r="I167" s="69">
        <f>B167/C86</f>
        <v>1.5323322096230462E-4</v>
      </c>
    </row>
    <row r="168" spans="1:9" ht="15" customHeight="1">
      <c r="A168" s="68">
        <v>108</v>
      </c>
      <c r="B168" s="69">
        <v>1</v>
      </c>
      <c r="C168" s="69">
        <f t="shared" si="12"/>
        <v>5.9089868950509627E-60</v>
      </c>
      <c r="D168" s="70">
        <f t="shared" si="10"/>
        <v>3.8562048477102583E-56</v>
      </c>
      <c r="E168" s="69">
        <f t="shared" si="13"/>
        <v>1.9403021247881219E-7</v>
      </c>
      <c r="F168" s="70">
        <f t="shared" si="11"/>
        <v>1.2662411666367283E-3</v>
      </c>
      <c r="G168" s="69">
        <f t="shared" si="8"/>
        <v>-136.37863118507639</v>
      </c>
      <c r="H168" s="69">
        <f t="shared" si="9"/>
        <v>-15.455251955581563</v>
      </c>
      <c r="I168" s="69">
        <f>B168/C86</f>
        <v>1.5323322096230462E-4</v>
      </c>
    </row>
    <row r="169" spans="1:9" ht="15" customHeight="1">
      <c r="A169" s="68">
        <v>112</v>
      </c>
      <c r="B169" s="69">
        <v>1</v>
      </c>
      <c r="C169" s="69">
        <f t="shared" si="12"/>
        <v>2.6108578293374694E-61</v>
      </c>
      <c r="D169" s="70">
        <f t="shared" si="10"/>
        <v>1.7038458194256326E-57</v>
      </c>
      <c r="E169" s="69">
        <f t="shared" si="13"/>
        <v>1.6137702549975252E-7</v>
      </c>
      <c r="F169" s="70">
        <f t="shared" si="11"/>
        <v>1.053146468411385E-3</v>
      </c>
      <c r="G169" s="69">
        <f t="shared" si="8"/>
        <v>-139.49801183505818</v>
      </c>
      <c r="H169" s="69">
        <f t="shared" si="9"/>
        <v>-15.63952243634945</v>
      </c>
      <c r="I169" s="69">
        <f>B169/C86</f>
        <v>1.5323322096230462E-4</v>
      </c>
    </row>
    <row r="170" spans="1:9" ht="15" customHeight="1">
      <c r="A170" s="68">
        <v>113</v>
      </c>
      <c r="B170" s="69">
        <v>1</v>
      </c>
      <c r="C170" s="69">
        <f t="shared" si="12"/>
        <v>1.1433863402544156E-62</v>
      </c>
      <c r="D170" s="70">
        <f t="shared" si="10"/>
        <v>7.4617392565003166E-59</v>
      </c>
      <c r="E170" s="69">
        <f t="shared" si="13"/>
        <v>1.3421917629270605E-7</v>
      </c>
      <c r="F170" s="70">
        <f t="shared" si="11"/>
        <v>8.7591434448619965E-4</v>
      </c>
      <c r="G170" s="69">
        <f t="shared" si="8"/>
        <v>-142.6262814324572</v>
      </c>
      <c r="H170" s="69">
        <f t="shared" si="9"/>
        <v>-15.823791729228846</v>
      </c>
      <c r="I170" s="69">
        <f>B170/C86</f>
        <v>1.5323322096230462E-4</v>
      </c>
    </row>
    <row r="171" spans="1:9" ht="15" customHeight="1">
      <c r="A171" s="68">
        <v>121</v>
      </c>
      <c r="B171" s="69">
        <v>1</v>
      </c>
      <c r="C171" s="69">
        <f t="shared" si="12"/>
        <v>4.6762298369796527E-64</v>
      </c>
      <c r="D171" s="70">
        <f t="shared" si="10"/>
        <v>3.0517075916129212E-60</v>
      </c>
      <c r="E171" s="69">
        <f t="shared" si="13"/>
        <v>1.1163265459662658E-7</v>
      </c>
      <c r="F171" s="70">
        <f t="shared" si="11"/>
        <v>7.2851470389758506E-4</v>
      </c>
      <c r="G171" s="69">
        <f t="shared" si="8"/>
        <v>-145.82295375674065</v>
      </c>
      <c r="H171" s="69">
        <f t="shared" si="9"/>
        <v>-16.008052225886953</v>
      </c>
      <c r="I171" s="69">
        <f>B171/C86</f>
        <v>1.5323322096230462E-4</v>
      </c>
    </row>
    <row r="172" spans="1:9" ht="15" customHeight="1">
      <c r="A172" s="68">
        <v>127</v>
      </c>
      <c r="B172" s="69">
        <v>1</v>
      </c>
      <c r="C172" s="69">
        <f t="shared" si="12"/>
        <v>1.822134147664435E-65</v>
      </c>
      <c r="D172" s="70">
        <f t="shared" si="10"/>
        <v>1.1891247447658102E-61</v>
      </c>
      <c r="E172" s="69">
        <f t="shared" si="13"/>
        <v>9.28475577501876E-8</v>
      </c>
      <c r="F172" s="70">
        <f t="shared" si="11"/>
        <v>6.059231618777243E-4</v>
      </c>
      <c r="G172" s="69">
        <f t="shared" si="8"/>
        <v>-149.06802262188592</v>
      </c>
      <c r="H172" s="69">
        <f t="shared" si="9"/>
        <v>-16.192306852668779</v>
      </c>
      <c r="I172" s="69">
        <f>B172/C86</f>
        <v>1.5323322096230462E-4</v>
      </c>
    </row>
    <row r="173" spans="1:9" ht="15" customHeight="1">
      <c r="A173" s="68">
        <v>141</v>
      </c>
      <c r="B173" s="69">
        <v>1</v>
      </c>
      <c r="C173" s="69">
        <f t="shared" si="12"/>
        <v>6.395131128385848E-67</v>
      </c>
      <c r="D173" s="70">
        <f t="shared" si="10"/>
        <v>4.1734625743846045E-63</v>
      </c>
      <c r="E173" s="69">
        <f t="shared" si="13"/>
        <v>7.7224449558914126E-8</v>
      </c>
      <c r="F173" s="70">
        <f t="shared" si="11"/>
        <v>5.0396675782147355E-4</v>
      </c>
      <c r="G173" s="69">
        <f t="shared" si="8"/>
        <v>-152.4176642909508</v>
      </c>
      <c r="H173" s="69">
        <f t="shared" si="9"/>
        <v>-16.376549725924836</v>
      </c>
      <c r="I173" s="69">
        <f>B173/C86</f>
        <v>1.5323322096230462E-4</v>
      </c>
    </row>
    <row r="174" spans="1:9" ht="15" customHeight="1">
      <c r="A174" s="68">
        <v>156</v>
      </c>
      <c r="B174" s="69">
        <v>1</v>
      </c>
      <c r="C174" s="69">
        <f t="shared" si="12"/>
        <v>2.028677791705181E-68</v>
      </c>
      <c r="D174" s="70">
        <f t="shared" si="10"/>
        <v>1.3239151268668012E-64</v>
      </c>
      <c r="E174" s="69">
        <f t="shared" si="13"/>
        <v>6.4230841317550515E-8</v>
      </c>
      <c r="F174" s="70">
        <f t="shared" si="11"/>
        <v>4.1917047043833468E-4</v>
      </c>
      <c r="G174" s="69">
        <f t="shared" si="8"/>
        <v>-155.86840207688701</v>
      </c>
      <c r="H174" s="69">
        <f t="shared" si="9"/>
        <v>-16.560782347248551</v>
      </c>
      <c r="I174" s="69">
        <f>B174/C86</f>
        <v>1.5323322096230462E-4</v>
      </c>
    </row>
    <row r="175" spans="1:9" ht="15.75" customHeight="1">
      <c r="A175" s="15" t="s">
        <v>76</v>
      </c>
      <c r="B175" s="15"/>
      <c r="C175" s="7">
        <f>SUM(C95:C174)</f>
        <v>0.99290714167569538</v>
      </c>
      <c r="D175" s="43"/>
    </row>
    <row r="176" spans="1:9" ht="15.75" customHeight="1">
      <c r="A176" s="15" t="s">
        <v>77</v>
      </c>
      <c r="B176" s="15"/>
      <c r="C176" s="43"/>
      <c r="D176" s="43"/>
      <c r="E176" s="7">
        <f>SUM(E95:E174)</f>
        <v>0.82725440191132515</v>
      </c>
    </row>
    <row r="177" spans="1:11" ht="18" customHeight="1">
      <c r="A177" s="13" t="s">
        <v>4</v>
      </c>
      <c r="B177" s="7">
        <f t="shared" ref="B177:I177" si="14">SUM(B95:B174)</f>
        <v>6526</v>
      </c>
      <c r="C177" s="7">
        <f t="shared" si="14"/>
        <v>0.99290714167569538</v>
      </c>
      <c r="D177" s="7">
        <f t="shared" si="14"/>
        <v>6479.712006575588</v>
      </c>
      <c r="E177" s="7">
        <f t="shared" si="14"/>
        <v>0.82725440191132515</v>
      </c>
      <c r="F177" s="7">
        <f t="shared" si="14"/>
        <v>5398.6622268733054</v>
      </c>
      <c r="G177" s="8">
        <f t="shared" si="14"/>
        <v>-32210.416667805817</v>
      </c>
      <c r="H177" s="8">
        <f t="shared" si="14"/>
        <v>-17487.436396942147</v>
      </c>
      <c r="I177" s="7">
        <f t="shared" si="14"/>
        <v>0.99999999999999911</v>
      </c>
    </row>
    <row r="178" spans="1:11" ht="15" customHeight="1"/>
    <row r="179" spans="1:11" ht="21.75" customHeight="1">
      <c r="A179" s="11" t="s">
        <v>82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 ht="18" customHeight="1">
      <c r="A180" s="44" t="s">
        <v>7</v>
      </c>
      <c r="B180" s="45"/>
      <c r="C180" s="45"/>
      <c r="D180" s="45"/>
      <c r="E180" s="46"/>
      <c r="F180" s="2">
        <f>C86</f>
        <v>6526</v>
      </c>
      <c r="G180" s="2"/>
      <c r="H180" s="2"/>
      <c r="I180" s="2"/>
      <c r="J180" s="2"/>
      <c r="K180" s="2"/>
    </row>
    <row r="181" spans="1:11" ht="18" customHeight="1">
      <c r="A181" s="44" t="s">
        <v>8</v>
      </c>
      <c r="B181" s="45"/>
      <c r="C181" s="45"/>
      <c r="D181" s="45"/>
      <c r="E181" s="46"/>
      <c r="F181" s="2">
        <f>SUMPRODUCT(A95:A174,B95:B174)</f>
        <v>32295</v>
      </c>
      <c r="G181" s="2"/>
      <c r="H181" s="2"/>
      <c r="I181" s="2"/>
      <c r="J181" s="2"/>
      <c r="K181" s="2"/>
    </row>
    <row r="182" spans="1:11" ht="18" customHeight="1">
      <c r="A182" s="44" t="s">
        <v>9</v>
      </c>
      <c r="B182" s="45"/>
      <c r="C182" s="45"/>
      <c r="D182" s="45"/>
      <c r="E182" s="46"/>
      <c r="F182" s="2">
        <f>SUMPRODUCT(A95:A174,B95:B174)/C86</f>
        <v>4.948666870977628</v>
      </c>
      <c r="G182" s="2"/>
      <c r="H182" s="2"/>
      <c r="I182" s="2"/>
      <c r="J182" s="2"/>
      <c r="K182" s="2"/>
    </row>
    <row r="183" spans="1:11" ht="18" customHeight="1">
      <c r="A183" s="44" t="s">
        <v>66</v>
      </c>
      <c r="B183" s="45"/>
      <c r="C183" s="45"/>
      <c r="D183" s="45"/>
      <c r="E183" s="46"/>
      <c r="F183" s="2">
        <f>SUMPRODUCT(B95:B174,(A95:A174-SUMPRODUCT(B95:B174,A95:A174)/C86)^2)/C86</f>
        <v>78.060037297238338</v>
      </c>
      <c r="G183" s="2"/>
      <c r="H183" s="2"/>
      <c r="I183" s="2"/>
      <c r="J183" s="2"/>
      <c r="K183" s="2"/>
    </row>
    <row r="184" spans="1:11" ht="18" customHeight="1">
      <c r="A184" s="44" t="s">
        <v>10</v>
      </c>
      <c r="B184" s="45"/>
      <c r="C184" s="45"/>
      <c r="D184" s="45"/>
      <c r="E184" s="46"/>
      <c r="F184" s="2">
        <f>F183/F182</f>
        <v>15.773952729579729</v>
      </c>
      <c r="G184" s="2"/>
      <c r="H184" s="2"/>
      <c r="I184" s="2"/>
      <c r="J184" s="2"/>
      <c r="K184" s="2"/>
    </row>
    <row r="185" spans="1:11" ht="18" customHeight="1">
      <c r="A185" s="44" t="s">
        <v>11</v>
      </c>
      <c r="B185" s="45"/>
      <c r="C185" s="45"/>
      <c r="D185" s="45"/>
      <c r="E185" s="46"/>
      <c r="F185" s="2">
        <f>MAX(A95:A174)</f>
        <v>156</v>
      </c>
      <c r="G185" s="2"/>
      <c r="H185" s="2"/>
      <c r="I185" s="2"/>
      <c r="J185" s="2"/>
      <c r="K185" s="2"/>
    </row>
    <row r="186" spans="1:11" ht="18" customHeight="1">
      <c r="A186" s="44" t="s">
        <v>67</v>
      </c>
      <c r="B186" s="45"/>
      <c r="C186" s="45"/>
      <c r="D186" s="45"/>
      <c r="E186" s="46"/>
      <c r="F186" s="2">
        <f>(F182)^2/((F183-F182)*(F182/F183))</f>
        <v>5.2836257652936789</v>
      </c>
      <c r="G186" s="2"/>
      <c r="H186" s="2"/>
      <c r="I186" s="2"/>
      <c r="J186" s="2"/>
      <c r="K186" s="2"/>
    </row>
    <row r="187" spans="1:11" ht="18" customHeight="1">
      <c r="A187" s="44" t="s">
        <v>68</v>
      </c>
      <c r="B187" s="45"/>
      <c r="C187" s="45"/>
      <c r="D187" s="45"/>
      <c r="E187" s="46"/>
      <c r="F187" s="2">
        <f>F182/(F183-F182)</f>
        <v>6.7686692810235274E-2</v>
      </c>
      <c r="G187" s="2"/>
      <c r="H187" s="2"/>
      <c r="I187" s="2"/>
      <c r="J187" s="2"/>
      <c r="K187" s="2"/>
    </row>
    <row r="188" spans="1:11" ht="18" customHeight="1">
      <c r="A188" s="57" t="s">
        <v>69</v>
      </c>
      <c r="B188" s="58"/>
      <c r="C188" s="58"/>
      <c r="D188" s="58"/>
      <c r="E188" s="59"/>
      <c r="F188" s="33">
        <f>B89</f>
        <v>0.98496809206545477</v>
      </c>
      <c r="G188" s="33"/>
      <c r="H188" s="33"/>
      <c r="I188" s="33"/>
      <c r="J188" s="33"/>
      <c r="K188" s="33"/>
    </row>
    <row r="189" spans="1:11" ht="18" customHeight="1">
      <c r="A189" s="57" t="s">
        <v>70</v>
      </c>
      <c r="B189" s="58"/>
      <c r="C189" s="58"/>
      <c r="D189" s="58"/>
      <c r="E189" s="59"/>
      <c r="F189" s="33">
        <f>B90</f>
        <v>0.20217961888404146</v>
      </c>
      <c r="G189" s="33"/>
      <c r="H189" s="33"/>
      <c r="I189" s="33"/>
      <c r="J189" s="33"/>
      <c r="K189" s="33"/>
    </row>
    <row r="190" spans="1:11" ht="18" customHeight="1">
      <c r="A190" s="60" t="s">
        <v>71</v>
      </c>
      <c r="B190" s="61"/>
      <c r="C190" s="61"/>
      <c r="D190" s="61"/>
      <c r="E190" s="62"/>
      <c r="F190" s="49">
        <f>B91</f>
        <v>4.948666870977628</v>
      </c>
      <c r="G190" s="49"/>
      <c r="H190" s="49"/>
      <c r="I190" s="49"/>
      <c r="J190" s="49"/>
      <c r="K190" s="49"/>
    </row>
    <row r="191" spans="1:11" ht="18" customHeight="1">
      <c r="A191" s="57" t="s">
        <v>72</v>
      </c>
      <c r="B191" s="58"/>
      <c r="C191" s="58"/>
      <c r="D191" s="58"/>
      <c r="E191" s="59"/>
      <c r="F191" s="50">
        <f>G177</f>
        <v>-32210.416667805817</v>
      </c>
      <c r="G191" s="50"/>
      <c r="H191" s="50"/>
      <c r="I191" s="50"/>
      <c r="J191" s="50"/>
      <c r="K191" s="50"/>
    </row>
    <row r="192" spans="1:11" ht="18" customHeight="1">
      <c r="A192" s="57" t="s">
        <v>73</v>
      </c>
      <c r="B192" s="58"/>
      <c r="C192" s="58"/>
      <c r="D192" s="58"/>
      <c r="E192" s="59"/>
      <c r="F192" s="50">
        <f>H177</f>
        <v>-17487.436396942147</v>
      </c>
      <c r="G192" s="50"/>
      <c r="H192" s="50"/>
      <c r="I192" s="50"/>
      <c r="J192" s="50"/>
      <c r="K192" s="50"/>
    </row>
    <row r="193" spans="1:12" ht="18" customHeight="1">
      <c r="A193" s="60" t="s">
        <v>74</v>
      </c>
      <c r="B193" s="61"/>
      <c r="C193" s="61"/>
      <c r="D193" s="61"/>
      <c r="E193" s="62"/>
      <c r="F193" s="54">
        <f>F188/F189</f>
        <v>4.8717476939669941</v>
      </c>
      <c r="G193" s="55"/>
      <c r="H193" s="55"/>
      <c r="I193" s="55"/>
      <c r="J193" s="55"/>
      <c r="K193" s="56"/>
    </row>
    <row r="194" spans="1:12" ht="18" customHeight="1">
      <c r="A194" s="44" t="s">
        <v>12</v>
      </c>
      <c r="B194" s="45"/>
      <c r="C194" s="45"/>
      <c r="D194" s="45"/>
      <c r="E194" s="46"/>
      <c r="F194" s="51">
        <f>H177-G177</f>
        <v>14722.980270863671</v>
      </c>
      <c r="G194" s="52"/>
      <c r="H194" s="52"/>
      <c r="I194" s="52"/>
      <c r="J194" s="52"/>
      <c r="K194" s="53"/>
    </row>
    <row r="195" spans="1:12" ht="18" customHeight="1">
      <c r="A195" s="44" t="s">
        <v>13</v>
      </c>
      <c r="B195" s="45"/>
      <c r="C195" s="45"/>
      <c r="D195" s="45"/>
      <c r="E195" s="46"/>
      <c r="F195" s="51">
        <f>2*(H177-G177)</f>
        <v>29445.960541727341</v>
      </c>
      <c r="G195" s="52"/>
      <c r="H195" s="52"/>
      <c r="I195" s="52"/>
      <c r="J195" s="52"/>
      <c r="K195" s="53"/>
    </row>
    <row r="196" spans="1:12" ht="18" customHeight="1">
      <c r="A196" s="44" t="s">
        <v>14</v>
      </c>
      <c r="B196" s="45"/>
      <c r="C196" s="45"/>
      <c r="D196" s="45"/>
      <c r="E196" s="46"/>
      <c r="F196" s="2">
        <v>1</v>
      </c>
      <c r="G196" s="2"/>
      <c r="H196" s="2"/>
      <c r="I196" s="2"/>
      <c r="J196" s="2"/>
      <c r="K196" s="2"/>
      <c r="L196" s="10" t="s">
        <v>78</v>
      </c>
    </row>
    <row r="197" spans="1:12" ht="18" customHeight="1">
      <c r="A197" s="44" t="s">
        <v>15</v>
      </c>
      <c r="B197" s="45"/>
      <c r="C197" s="45"/>
      <c r="D197" s="45"/>
      <c r="E197" s="46"/>
      <c r="F197" s="2">
        <f>CHIDIST(2*(H177-G177),1)</f>
        <v>0</v>
      </c>
      <c r="G197" s="2"/>
      <c r="H197" s="2"/>
      <c r="I197" s="2"/>
      <c r="J197" s="2"/>
      <c r="K197" s="2"/>
    </row>
    <row r="198" spans="1:12" ht="18" customHeight="1">
      <c r="A198" s="44" t="s">
        <v>16</v>
      </c>
      <c r="B198" s="45"/>
      <c r="C198" s="45"/>
      <c r="D198" s="45"/>
      <c r="E198" s="46"/>
      <c r="F198" s="74">
        <v>0.37919999999999998</v>
      </c>
      <c r="G198" s="75"/>
      <c r="H198" s="75"/>
      <c r="I198" s="75"/>
      <c r="J198" s="75"/>
      <c r="K198" s="76"/>
      <c r="L198" s="10" t="s">
        <v>79</v>
      </c>
    </row>
    <row r="199" spans="1:12" s="19" customFormat="1" ht="15" customHeight="1">
      <c r="A199" s="47"/>
      <c r="B199" s="48"/>
      <c r="C199" s="48"/>
      <c r="D199" s="48"/>
      <c r="E199" s="48"/>
    </row>
    <row r="200" spans="1:12" ht="21.75" customHeight="1">
      <c r="A200" s="65" t="s">
        <v>75</v>
      </c>
      <c r="B200" s="66"/>
      <c r="C200" s="66"/>
      <c r="D200" s="66"/>
      <c r="E200" s="66"/>
      <c r="F200" s="67"/>
      <c r="G200" s="27"/>
      <c r="H200" s="23"/>
      <c r="I200" s="23"/>
      <c r="J200" s="23"/>
      <c r="K200" s="23"/>
    </row>
    <row r="201" spans="1:12" ht="31.5" customHeight="1">
      <c r="A201" s="12" t="s">
        <v>17</v>
      </c>
      <c r="B201" s="12" t="s">
        <v>18</v>
      </c>
      <c r="C201" s="12" t="s">
        <v>6</v>
      </c>
      <c r="D201" s="12" t="s">
        <v>19</v>
      </c>
      <c r="E201" s="12" t="s">
        <v>20</v>
      </c>
      <c r="F201" s="12" t="s">
        <v>21</v>
      </c>
    </row>
    <row r="202" spans="1:12" ht="15" customHeight="1">
      <c r="A202" s="71" t="s">
        <v>22</v>
      </c>
      <c r="B202" s="71">
        <f>SUMIF(A95:A174,1,B95:B174)</f>
        <v>2648</v>
      </c>
      <c r="C202" s="71">
        <f>SUMIF(A95:A174,1,F95:F174)</f>
        <v>923.6470914019169</v>
      </c>
      <c r="D202" s="71">
        <f t="shared" ref="D202:D230" si="15">B202-C202</f>
        <v>1724.3529085980831</v>
      </c>
      <c r="E202" s="71">
        <f t="shared" ref="E202:E230" si="16">IF(C202&gt;0,(B202-C202)^2/C202,"")</f>
        <v>3219.1872643453421</v>
      </c>
      <c r="F202" s="71" t="str">
        <f>IF(C202&gt;=5,"YES","NO")</f>
        <v>YES</v>
      </c>
    </row>
    <row r="203" spans="1:12" ht="15" customHeight="1">
      <c r="A203" s="71" t="s">
        <v>23</v>
      </c>
      <c r="B203" s="71">
        <f>SUMIF(A95:A174,2,B95:B174)</f>
        <v>1084</v>
      </c>
      <c r="C203" s="71">
        <f>SUMIF(A95:A174,2,F95:F174)</f>
        <v>762.53580411876646</v>
      </c>
      <c r="D203" s="71">
        <f t="shared" si="15"/>
        <v>321.46419588123354</v>
      </c>
      <c r="E203" s="71">
        <f t="shared" si="16"/>
        <v>135.52049448090281</v>
      </c>
      <c r="F203" s="71" t="str">
        <f t="shared" ref="F203:F231" si="17">IF(C203&gt;=5,"YES","NO")</f>
        <v>YES</v>
      </c>
    </row>
    <row r="204" spans="1:12" ht="15" customHeight="1">
      <c r="A204" s="71" t="s">
        <v>24</v>
      </c>
      <c r="B204" s="71">
        <f>SUMIF(A95:A174,3,B95:B174)</f>
        <v>617</v>
      </c>
      <c r="C204" s="71">
        <f>SUMIF(A95:A174,3,F95:F174)</f>
        <v>631.11618502424517</v>
      </c>
      <c r="D204" s="71">
        <f t="shared" si="15"/>
        <v>-14.116185024245169</v>
      </c>
      <c r="E204" s="71">
        <f t="shared" si="16"/>
        <v>0.31573691875936993</v>
      </c>
      <c r="F204" s="71" t="str">
        <f t="shared" si="17"/>
        <v>YES</v>
      </c>
    </row>
    <row r="205" spans="1:12" ht="15" customHeight="1">
      <c r="A205" s="71" t="s">
        <v>25</v>
      </c>
      <c r="B205" s="71">
        <f>SUMIF(A95:A174,4,B95:B174)</f>
        <v>431</v>
      </c>
      <c r="C205" s="71">
        <f>SUMIF(A95:A174,4,F95:F174)</f>
        <v>523.00376337320893</v>
      </c>
      <c r="D205" s="71">
        <f t="shared" si="15"/>
        <v>-92.003763373208926</v>
      </c>
      <c r="E205" s="71">
        <f t="shared" si="16"/>
        <v>16.184763987621867</v>
      </c>
      <c r="F205" s="71" t="str">
        <f t="shared" si="17"/>
        <v>YES</v>
      </c>
    </row>
    <row r="206" spans="1:12" ht="15" customHeight="1">
      <c r="A206" s="71" t="s">
        <v>26</v>
      </c>
      <c r="B206" s="71">
        <f>SUMIF(A95:A174,5,B95:B174)</f>
        <v>284</v>
      </c>
      <c r="C206" s="71">
        <f>SUMIF(A95:A174,5,F95:F174)</f>
        <v>433.73835847687513</v>
      </c>
      <c r="D206" s="71">
        <f t="shared" si="15"/>
        <v>-149.73835847687513</v>
      </c>
      <c r="E206" s="71">
        <f t="shared" si="16"/>
        <v>51.693781656953853</v>
      </c>
      <c r="F206" s="71" t="str">
        <f t="shared" si="17"/>
        <v>YES</v>
      </c>
    </row>
    <row r="207" spans="1:12" ht="15" customHeight="1">
      <c r="A207" s="71" t="s">
        <v>27</v>
      </c>
      <c r="B207" s="71">
        <f>SUMIF(A95:A174,6,B95:B174)</f>
        <v>217</v>
      </c>
      <c r="C207" s="71">
        <f>SUMIF(A95:A174,6,F95:F174)</f>
        <v>359.88940352062025</v>
      </c>
      <c r="D207" s="71">
        <f t="shared" si="15"/>
        <v>-142.88940352062025</v>
      </c>
      <c r="E207" s="71">
        <f t="shared" si="16"/>
        <v>56.73237788816644</v>
      </c>
      <c r="F207" s="71" t="str">
        <f t="shared" si="17"/>
        <v>YES</v>
      </c>
    </row>
    <row r="208" spans="1:12" ht="15" customHeight="1">
      <c r="A208" s="71" t="s">
        <v>28</v>
      </c>
      <c r="B208" s="71">
        <f>SUMIF(A95:A174,7,B95:B174)</f>
        <v>175</v>
      </c>
      <c r="C208" s="71">
        <f>SUMIF(A95:A174,7,F95:F174)</f>
        <v>298.72122753141207</v>
      </c>
      <c r="D208" s="71">
        <f t="shared" si="15"/>
        <v>-123.72122753141207</v>
      </c>
      <c r="E208" s="71">
        <f t="shared" si="16"/>
        <v>51.241561466433893</v>
      </c>
      <c r="F208" s="71" t="str">
        <f t="shared" si="17"/>
        <v>YES</v>
      </c>
    </row>
    <row r="209" spans="1:6" ht="15" customHeight="1">
      <c r="A209" s="71" t="s">
        <v>29</v>
      </c>
      <c r="B209" s="71">
        <f>SUMIF(A95:A174,8,B95:B174)</f>
        <v>118</v>
      </c>
      <c r="C209" s="71">
        <f>SUMIF(A95:A174,8,F95:F174)</f>
        <v>248.01612762275442</v>
      </c>
      <c r="D209" s="71">
        <f t="shared" si="15"/>
        <v>-130.01612762275442</v>
      </c>
      <c r="E209" s="71">
        <f t="shared" si="16"/>
        <v>68.157637989286471</v>
      </c>
      <c r="F209" s="71" t="str">
        <f t="shared" si="17"/>
        <v>YES</v>
      </c>
    </row>
    <row r="210" spans="1:6" ht="15" customHeight="1">
      <c r="A210" s="71" t="s">
        <v>30</v>
      </c>
      <c r="B210" s="71">
        <f>SUMIF(A95:A174,9,B95:B174)</f>
        <v>123</v>
      </c>
      <c r="C210" s="71">
        <f>SUMIF(A95:A174,9,F95:F174)</f>
        <v>205.96081003423834</v>
      </c>
      <c r="D210" s="71">
        <f t="shared" si="15"/>
        <v>-82.960810034238335</v>
      </c>
      <c r="E210" s="71">
        <f t="shared" si="16"/>
        <v>33.416532011079454</v>
      </c>
      <c r="F210" s="71" t="str">
        <f t="shared" si="17"/>
        <v>YES</v>
      </c>
    </row>
    <row r="211" spans="1:6" ht="15" customHeight="1">
      <c r="A211" s="71" t="s">
        <v>31</v>
      </c>
      <c r="B211" s="71">
        <f>SUMIF(A95:A174,10,B95:B174)</f>
        <v>94</v>
      </c>
      <c r="C211" s="71">
        <f>SUMIF(A95:A174,10,F95:F174)</f>
        <v>171.06529541041809</v>
      </c>
      <c r="D211" s="71">
        <f t="shared" si="15"/>
        <v>-77.065295410418088</v>
      </c>
      <c r="E211" s="71">
        <f t="shared" si="16"/>
        <v>34.718086695761855</v>
      </c>
      <c r="F211" s="71" t="str">
        <f t="shared" si="17"/>
        <v>YES</v>
      </c>
    </row>
    <row r="212" spans="1:6" ht="15" customHeight="1">
      <c r="A212" s="71" t="s">
        <v>32</v>
      </c>
      <c r="B212" s="71">
        <f>SUMIF(A95:A174,11,B95:B174)</f>
        <v>90</v>
      </c>
      <c r="C212" s="71">
        <f>SUMIF(A95:A174,11,F95:F174)</f>
        <v>142.10150102101193</v>
      </c>
      <c r="D212" s="71">
        <f t="shared" si="15"/>
        <v>-52.101501021011927</v>
      </c>
      <c r="E212" s="71">
        <f t="shared" si="16"/>
        <v>19.103010095868836</v>
      </c>
      <c r="F212" s="71" t="str">
        <f t="shared" si="17"/>
        <v>YES</v>
      </c>
    </row>
    <row r="213" spans="1:6" ht="15" customHeight="1">
      <c r="A213" s="71" t="s">
        <v>33</v>
      </c>
      <c r="B213" s="71">
        <f>SUMIF(A95:A174,12,B95:B174)</f>
        <v>65</v>
      </c>
      <c r="C213" s="71">
        <f>SUMIF(A95:A174,12,F95:F174)</f>
        <v>118.05515088449448</v>
      </c>
      <c r="D213" s="71">
        <f t="shared" si="15"/>
        <v>-53.055150884494481</v>
      </c>
      <c r="E213" s="71">
        <f t="shared" si="16"/>
        <v>23.843508854014615</v>
      </c>
      <c r="F213" s="71" t="str">
        <f t="shared" si="17"/>
        <v>YES</v>
      </c>
    </row>
    <row r="214" spans="1:6" ht="15" customHeight="1">
      <c r="A214" s="71" t="s">
        <v>34</v>
      </c>
      <c r="B214" s="71">
        <f>SUMIF(A95:A174,13,B95:B174)</f>
        <v>59</v>
      </c>
      <c r="C214" s="71">
        <f>SUMIF(A95:A174,13,F95:F174)</f>
        <v>98.087375454703903</v>
      </c>
      <c r="D214" s="71">
        <f t="shared" si="15"/>
        <v>-39.087375454703903</v>
      </c>
      <c r="E214" s="71">
        <f t="shared" si="16"/>
        <v>15.576142320604017</v>
      </c>
      <c r="F214" s="71" t="str">
        <f t="shared" si="17"/>
        <v>YES</v>
      </c>
    </row>
    <row r="215" spans="1:6" ht="15" customHeight="1">
      <c r="A215" s="71" t="s">
        <v>35</v>
      </c>
      <c r="B215" s="71">
        <f>SUMIF(A95:A174,14,B95:B174)</f>
        <v>45</v>
      </c>
      <c r="C215" s="71">
        <f>SUMIF(A95:A174,14,F95:F174)</f>
        <v>81.503676109912305</v>
      </c>
      <c r="D215" s="71">
        <f t="shared" si="15"/>
        <v>-36.503676109912305</v>
      </c>
      <c r="E215" s="71">
        <f t="shared" si="16"/>
        <v>16.349181204298148</v>
      </c>
      <c r="F215" s="71" t="str">
        <f t="shared" si="17"/>
        <v>YES</v>
      </c>
    </row>
    <row r="216" spans="1:6" ht="15" customHeight="1">
      <c r="A216" s="71" t="s">
        <v>36</v>
      </c>
      <c r="B216" s="71">
        <f>SUMIF(A95:A174,15,B95:B174)</f>
        <v>47</v>
      </c>
      <c r="C216" s="71">
        <f>SUMIF(A95:A174,15,F95:F174)</f>
        <v>67.728647017922825</v>
      </c>
      <c r="D216" s="71">
        <f t="shared" si="15"/>
        <v>-20.728647017922825</v>
      </c>
      <c r="E216" s="71">
        <f t="shared" si="16"/>
        <v>6.3440925828613812</v>
      </c>
      <c r="F216" s="71" t="str">
        <f t="shared" si="17"/>
        <v>YES</v>
      </c>
    </row>
    <row r="217" spans="1:6" ht="15" customHeight="1">
      <c r="A217" s="71" t="s">
        <v>37</v>
      </c>
      <c r="B217" s="71">
        <f>SUMIF(A95:A174,16,B95:B174)</f>
        <v>42</v>
      </c>
      <c r="C217" s="71">
        <f>SUMIF(A95:A174,16,F95:F174)</f>
        <v>56.285279903994976</v>
      </c>
      <c r="D217" s="71">
        <f t="shared" si="15"/>
        <v>-14.285279903994976</v>
      </c>
      <c r="E217" s="71">
        <f t="shared" si="16"/>
        <v>3.6256232941110138</v>
      </c>
      <c r="F217" s="71" t="str">
        <f t="shared" si="17"/>
        <v>YES</v>
      </c>
    </row>
    <row r="218" spans="1:6" ht="15" customHeight="1">
      <c r="A218" s="71" t="s">
        <v>38</v>
      </c>
      <c r="B218" s="71">
        <f>SUMIF(A95:A174,17,B95:B174)</f>
        <v>30</v>
      </c>
      <c r="C218" s="71">
        <f>SUMIF(A95:A174,17,F95:F174)</f>
        <v>46.777960543022886</v>
      </c>
      <c r="D218" s="71">
        <f t="shared" si="15"/>
        <v>-16.777960543022886</v>
      </c>
      <c r="E218" s="71">
        <f t="shared" si="16"/>
        <v>6.0177903592938842</v>
      </c>
      <c r="F218" s="71" t="str">
        <f t="shared" si="17"/>
        <v>YES</v>
      </c>
    </row>
    <row r="219" spans="1:6" ht="15" customHeight="1">
      <c r="A219" s="71" t="s">
        <v>39</v>
      </c>
      <c r="B219" s="71">
        <f>SUMIF(A95:A174,18,B95:B174)</f>
        <v>14</v>
      </c>
      <c r="C219" s="71">
        <f>SUMIF(A95:A174,18,F95:F174)</f>
        <v>38.878463129380357</v>
      </c>
      <c r="D219" s="71">
        <f t="shared" si="15"/>
        <v>-24.878463129380357</v>
      </c>
      <c r="E219" s="71">
        <f t="shared" si="16"/>
        <v>15.919814670148522</v>
      </c>
      <c r="F219" s="71" t="str">
        <f t="shared" si="17"/>
        <v>YES</v>
      </c>
    </row>
    <row r="220" spans="1:6" ht="15" customHeight="1">
      <c r="A220" s="71" t="s">
        <v>40</v>
      </c>
      <c r="B220" s="71">
        <f>SUMIF(A95:A174,19,B95:B174)</f>
        <v>28</v>
      </c>
      <c r="C220" s="71">
        <f>SUMIF(A95:A174,19,F95:F174)</f>
        <v>32.31439271178909</v>
      </c>
      <c r="D220" s="71">
        <f t="shared" si="15"/>
        <v>-4.3143927117890897</v>
      </c>
      <c r="E220" s="71">
        <f t="shared" si="16"/>
        <v>0.57602767403231969</v>
      </c>
      <c r="F220" s="71" t="str">
        <f t="shared" si="17"/>
        <v>YES</v>
      </c>
    </row>
    <row r="221" spans="1:6" ht="15" customHeight="1">
      <c r="A221" s="71" t="s">
        <v>41</v>
      </c>
      <c r="B221" s="71">
        <f>SUMIF(A95:A174,20,B95:B174)</f>
        <v>27</v>
      </c>
      <c r="C221" s="71">
        <f>SUMIF(A95:A174,20,F95:F174)</f>
        <v>26.859634663373445</v>
      </c>
      <c r="D221" s="71">
        <f t="shared" si="15"/>
        <v>0.14036533662655515</v>
      </c>
      <c r="E221" s="71">
        <f t="shared" si="16"/>
        <v>7.3353297515818148E-4</v>
      </c>
      <c r="F221" s="71" t="str">
        <f t="shared" si="17"/>
        <v>YES</v>
      </c>
    </row>
    <row r="222" spans="1:6" ht="15" customHeight="1">
      <c r="A222" s="71" t="s">
        <v>42</v>
      </c>
      <c r="B222" s="71">
        <f>SUMIF(A95:A174,21,B95:B174)</f>
        <v>21</v>
      </c>
      <c r="C222" s="71">
        <f>SUMIF(A95:A174,21,F95:F174)</f>
        <v>22.326454364402927</v>
      </c>
      <c r="D222" s="71">
        <f t="shared" si="15"/>
        <v>-1.3264543644029274</v>
      </c>
      <c r="E222" s="71">
        <f t="shared" si="16"/>
        <v>7.8807013067371465E-2</v>
      </c>
      <c r="F222" s="71" t="str">
        <f t="shared" si="17"/>
        <v>YES</v>
      </c>
    </row>
    <row r="223" spans="1:6" ht="15" customHeight="1">
      <c r="A223" s="71" t="s">
        <v>43</v>
      </c>
      <c r="B223" s="71">
        <f>SUMIF(A95:A174,22,B95:B174)</f>
        <v>18</v>
      </c>
      <c r="C223" s="71">
        <f>SUMIF(A95:A174,22,F95:F174)</f>
        <v>18.558956623455039</v>
      </c>
      <c r="D223" s="71">
        <f t="shared" si="15"/>
        <v>-0.55895662345503894</v>
      </c>
      <c r="E223" s="71">
        <f t="shared" si="16"/>
        <v>1.6834594381744613E-2</v>
      </c>
      <c r="F223" s="71" t="str">
        <f t="shared" si="17"/>
        <v>YES</v>
      </c>
    </row>
    <row r="224" spans="1:6" ht="15" customHeight="1">
      <c r="A224" s="71" t="s">
        <v>44</v>
      </c>
      <c r="B224" s="71">
        <f>SUMIF(A95:A174,23,B95:B174)</f>
        <v>10</v>
      </c>
      <c r="C224" s="71">
        <f>SUMIF(A95:A174,23,F95:F174)</f>
        <v>15.427667311844925</v>
      </c>
      <c r="D224" s="71">
        <f t="shared" si="15"/>
        <v>-5.4276673118449246</v>
      </c>
      <c r="E224" s="71">
        <f t="shared" si="16"/>
        <v>1.9095286314251596</v>
      </c>
      <c r="F224" s="71" t="str">
        <f t="shared" si="17"/>
        <v>YES</v>
      </c>
    </row>
    <row r="225" spans="1:6" ht="15" customHeight="1">
      <c r="A225" s="71" t="s">
        <v>45</v>
      </c>
      <c r="B225" s="71">
        <f>SUMIF(A95:A174,24,B95:B174)</f>
        <v>17</v>
      </c>
      <c r="C225" s="71">
        <f>SUMIF(A95:A174,24,F95:F174)</f>
        <v>12.825042336889409</v>
      </c>
      <c r="D225" s="71">
        <f t="shared" si="15"/>
        <v>4.1749576631105914</v>
      </c>
      <c r="E225" s="71">
        <f t="shared" si="16"/>
        <v>1.3590810097078709</v>
      </c>
      <c r="F225" s="71" t="str">
        <f t="shared" si="17"/>
        <v>YES</v>
      </c>
    </row>
    <row r="226" spans="1:6" ht="15" customHeight="1">
      <c r="A226" s="71" t="s">
        <v>46</v>
      </c>
      <c r="B226" s="71">
        <f>SUMIF(A95:A174,25,B95:B174)</f>
        <v>20</v>
      </c>
      <c r="C226" s="71">
        <f>SUMIF(A95:A174,25,F95:F174)</f>
        <v>10.661743670684487</v>
      </c>
      <c r="D226" s="71">
        <f t="shared" si="15"/>
        <v>9.338256329315513</v>
      </c>
      <c r="E226" s="71">
        <f t="shared" si="16"/>
        <v>8.1790590700257173</v>
      </c>
      <c r="F226" s="71" t="str">
        <f t="shared" si="17"/>
        <v>YES</v>
      </c>
    </row>
    <row r="227" spans="1:6" ht="15" customHeight="1">
      <c r="A227" s="71" t="s">
        <v>47</v>
      </c>
      <c r="B227" s="71">
        <f>SUMIF(A95:A174,26,B95:B174)</f>
        <v>21</v>
      </c>
      <c r="C227" s="71">
        <f>SUMIF(A95:A174,26,F95:F174)</f>
        <v>8.8635503488396683</v>
      </c>
      <c r="D227" s="71">
        <f t="shared" si="15"/>
        <v>12.136449651160332</v>
      </c>
      <c r="E227" s="71">
        <f t="shared" si="16"/>
        <v>16.617879330310569</v>
      </c>
      <c r="F227" s="71" t="str">
        <f t="shared" si="17"/>
        <v>YES</v>
      </c>
    </row>
    <row r="228" spans="1:6" ht="15" customHeight="1">
      <c r="A228" s="71" t="s">
        <v>48</v>
      </c>
      <c r="B228" s="71">
        <f>SUMIF(A95:A174,27,B95:B174)</f>
        <v>4</v>
      </c>
      <c r="C228" s="71">
        <f>SUMIF(A95:A174,27,F95:F174)</f>
        <v>7.3687954281734926</v>
      </c>
      <c r="D228" s="71">
        <f t="shared" si="15"/>
        <v>-3.3687954281734926</v>
      </c>
      <c r="E228" s="71">
        <f t="shared" si="16"/>
        <v>1.540113679027137</v>
      </c>
      <c r="F228" s="71" t="str">
        <f t="shared" si="17"/>
        <v>YES</v>
      </c>
    </row>
    <row r="229" spans="1:6" ht="15" customHeight="1">
      <c r="A229" s="71" t="s">
        <v>49</v>
      </c>
      <c r="B229" s="71">
        <f>SUMIF(A95:A174,28,B95:B174)</f>
        <v>17</v>
      </c>
      <c r="C229" s="71">
        <f>SUMIF(A95:A174,28,F95:F174)</f>
        <v>6.1262388300836745</v>
      </c>
      <c r="D229" s="71">
        <f t="shared" si="15"/>
        <v>10.873761169916325</v>
      </c>
      <c r="E229" s="71">
        <f t="shared" si="16"/>
        <v>19.300370955137101</v>
      </c>
      <c r="F229" s="71" t="str">
        <f t="shared" si="17"/>
        <v>YES</v>
      </c>
    </row>
    <row r="230" spans="1:6" ht="15" customHeight="1">
      <c r="A230" s="71" t="s">
        <v>50</v>
      </c>
      <c r="B230" s="71">
        <f>SUMIF(A95:A174,29,B95:B174)</f>
        <v>9</v>
      </c>
      <c r="C230" s="71">
        <f>SUMIF(A95:A174,29,F95:F174)</f>
        <v>5.0933015741909244</v>
      </c>
      <c r="D230" s="71">
        <f t="shared" si="15"/>
        <v>3.9066984258090756</v>
      </c>
      <c r="E230" s="71">
        <f t="shared" si="16"/>
        <v>2.9965420990496794</v>
      </c>
      <c r="F230" s="71" t="str">
        <f t="shared" si="17"/>
        <v>YES</v>
      </c>
    </row>
    <row r="231" spans="1:6" ht="15" customHeight="1">
      <c r="A231" s="71" t="s">
        <v>80</v>
      </c>
      <c r="B231" s="71" cm="1">
        <f t="array" ref="B231">SUMPRODUCT((A95:A174&gt;=30)*B95:B174)</f>
        <v>151</v>
      </c>
      <c r="C231" s="71" cm="1">
        <f t="array" ref="C231">SUMPRODUCT((A95:A174&gt;=30)*F95:F174)</f>
        <v>25.12432843067748</v>
      </c>
      <c r="D231" s="71">
        <f>B231-C231</f>
        <v>125.87567156932252</v>
      </c>
      <c r="E231" s="71">
        <f>IF(C231&gt;0,(B231-C231)^2/C231,"")</f>
        <v>630.65107339072847</v>
      </c>
      <c r="F231" s="71" t="str">
        <f t="shared" si="17"/>
        <v>YES</v>
      </c>
    </row>
    <row r="232" spans="1:6" ht="18" customHeight="1">
      <c r="A232" s="13" t="s">
        <v>4</v>
      </c>
      <c r="B232" s="13">
        <f>SUM(B202:B231)</f>
        <v>6526</v>
      </c>
      <c r="C232" s="13">
        <f>SUM(C202:C231)</f>
        <v>5398.6622268733026</v>
      </c>
      <c r="D232" s="14"/>
      <c r="E232" s="16">
        <f>SUM(E202:E231)</f>
        <v>4457.1734518013764</v>
      </c>
      <c r="F232" s="17"/>
    </row>
    <row r="233" spans="1:6" ht="18" customHeight="1">
      <c r="A233" s="15" t="s">
        <v>51</v>
      </c>
      <c r="B233" s="15"/>
      <c r="C233" s="15"/>
      <c r="D233" s="15"/>
      <c r="E233" s="16">
        <v>27</v>
      </c>
      <c r="F233" s="17"/>
    </row>
    <row r="234" spans="1:6" ht="18" customHeight="1">
      <c r="A234" s="15" t="s">
        <v>52</v>
      </c>
      <c r="B234" s="15"/>
      <c r="C234" s="15"/>
      <c r="D234" s="15"/>
      <c r="E234" s="16">
        <f>CHIDIST(E232,E233)</f>
        <v>0</v>
      </c>
      <c r="F234" s="17"/>
    </row>
  </sheetData>
  <mergeCells count="48">
    <mergeCell ref="A233:D233"/>
    <mergeCell ref="A234:D234"/>
    <mergeCell ref="A1:E1"/>
    <mergeCell ref="A4:E4"/>
    <mergeCell ref="A88:B88"/>
    <mergeCell ref="A93:I93"/>
    <mergeCell ref="A198:E198"/>
    <mergeCell ref="F198:K198"/>
    <mergeCell ref="F195:K195"/>
    <mergeCell ref="F193:K193"/>
    <mergeCell ref="A200:F200"/>
    <mergeCell ref="A196:E196"/>
    <mergeCell ref="A197:E197"/>
    <mergeCell ref="F197:K197"/>
    <mergeCell ref="A193:E193"/>
    <mergeCell ref="F194:K194"/>
    <mergeCell ref="A194:E194"/>
    <mergeCell ref="A195:E195"/>
    <mergeCell ref="F196:K196"/>
    <mergeCell ref="A190:E190"/>
    <mergeCell ref="F190:K190"/>
    <mergeCell ref="A191:E191"/>
    <mergeCell ref="F191:K191"/>
    <mergeCell ref="A192:E192"/>
    <mergeCell ref="F192:K192"/>
    <mergeCell ref="A187:E187"/>
    <mergeCell ref="F187:K187"/>
    <mergeCell ref="A188:E188"/>
    <mergeCell ref="F188:K188"/>
    <mergeCell ref="A189:E189"/>
    <mergeCell ref="F189:K189"/>
    <mergeCell ref="A184:E184"/>
    <mergeCell ref="F184:K184"/>
    <mergeCell ref="A185:E185"/>
    <mergeCell ref="F185:K185"/>
    <mergeCell ref="A186:E186"/>
    <mergeCell ref="F186:K186"/>
    <mergeCell ref="A181:E181"/>
    <mergeCell ref="F181:K181"/>
    <mergeCell ref="A182:E182"/>
    <mergeCell ref="F182:K182"/>
    <mergeCell ref="A183:E183"/>
    <mergeCell ref="F183:K183"/>
    <mergeCell ref="A175:B175"/>
    <mergeCell ref="A176:B176"/>
    <mergeCell ref="A179:K179"/>
    <mergeCell ref="A180:E180"/>
    <mergeCell ref="F180:K18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1"/>
  <sheetViews>
    <sheetView showGridLines="0" tabSelected="1" zoomScale="40" zoomScaleNormal="113" workbookViewId="0">
      <selection activeCell="W78" sqref="W78"/>
    </sheetView>
  </sheetViews>
  <sheetFormatPr baseColWidth="10" defaultColWidth="8.6640625" defaultRowHeight="15"/>
  <cols>
    <col min="1" max="1" width="8" customWidth="1"/>
    <col min="2" max="4" width="18" customWidth="1"/>
    <col min="16" max="16" width="7.1640625" customWidth="1"/>
    <col min="17" max="17" width="16.1640625" customWidth="1"/>
    <col min="18" max="18" width="16.6640625" customWidth="1"/>
    <col min="19" max="19" width="13.1640625" customWidth="1"/>
  </cols>
  <sheetData>
    <row r="1" spans="1:19" ht="27.75" customHeight="1">
      <c r="A1" s="1" t="s">
        <v>53</v>
      </c>
      <c r="B1" s="1"/>
      <c r="C1" s="1"/>
      <c r="D1" s="1"/>
      <c r="P1" s="72" t="s">
        <v>5</v>
      </c>
      <c r="Q1" s="72" t="s">
        <v>83</v>
      </c>
      <c r="R1" s="72" t="s">
        <v>85</v>
      </c>
      <c r="S1" s="72" t="s">
        <v>87</v>
      </c>
    </row>
    <row r="2" spans="1:19" ht="15" customHeight="1">
      <c r="A2" s="3" t="s">
        <v>54</v>
      </c>
      <c r="B2" s="3"/>
      <c r="C2" s="3"/>
      <c r="D2" s="3"/>
      <c r="P2" s="73">
        <v>1</v>
      </c>
      <c r="Q2" s="73">
        <v>2648</v>
      </c>
      <c r="R2" s="77">
        <v>229.06385958342398</v>
      </c>
      <c r="S2" s="77">
        <v>923.6470914019169</v>
      </c>
    </row>
    <row r="3" spans="1:19">
      <c r="P3" s="73">
        <v>2</v>
      </c>
      <c r="Q3" s="73">
        <v>1084</v>
      </c>
      <c r="R3" s="77">
        <v>566.78036662938075</v>
      </c>
      <c r="S3" s="77">
        <v>762.53580411876646</v>
      </c>
    </row>
    <row r="4" spans="1:19" ht="19.5" customHeight="1">
      <c r="A4" s="4" t="s">
        <v>5</v>
      </c>
      <c r="B4" s="4" t="s">
        <v>55</v>
      </c>
      <c r="C4" s="4" t="s">
        <v>56</v>
      </c>
      <c r="D4" s="4" t="s">
        <v>57</v>
      </c>
      <c r="P4" s="73">
        <v>3</v>
      </c>
      <c r="Q4" s="73">
        <v>617</v>
      </c>
      <c r="R4" s="77">
        <v>934.93574115312356</v>
      </c>
      <c r="S4" s="77">
        <v>631.11618502424517</v>
      </c>
    </row>
    <row r="5" spans="1:19" ht="15" customHeight="1">
      <c r="A5" s="5">
        <v>1</v>
      </c>
      <c r="B5" s="63">
        <f>Model_Calculations!I95</f>
        <v>0.40576156910818267</v>
      </c>
      <c r="C5" s="63">
        <f>Model_Calculations!E95/Model_Calculations!E176</f>
        <v>0.17108814231870489</v>
      </c>
      <c r="D5" s="63">
        <f>Model_Calculations!C95/Model_Calculations!C175</f>
        <v>3.5350932163492887E-2</v>
      </c>
      <c r="P5" s="73">
        <v>4</v>
      </c>
      <c r="Q5" s="73">
        <v>431</v>
      </c>
      <c r="R5" s="77">
        <v>1156.6713821843443</v>
      </c>
      <c r="S5" s="77">
        <v>523.00376337320893</v>
      </c>
    </row>
    <row r="6" spans="1:19" ht="15" customHeight="1">
      <c r="A6" s="6">
        <v>2</v>
      </c>
      <c r="B6" s="64">
        <f>Model_Calculations!I96</f>
        <v>0.16610481152313822</v>
      </c>
      <c r="C6" s="64">
        <f>Model_Calculations!E96/Model_Calculations!E176</f>
        <v>0.14124532561474903</v>
      </c>
      <c r="D6" s="64">
        <f>Model_Calculations!C96/Model_Calculations!C175</f>
        <v>8.7469993427827367E-2</v>
      </c>
      <c r="P6" s="73">
        <v>5</v>
      </c>
      <c r="Q6" s="73">
        <v>284</v>
      </c>
      <c r="R6" s="77">
        <v>1144.7962699247137</v>
      </c>
      <c r="S6" s="77">
        <v>433.73835847687513</v>
      </c>
    </row>
    <row r="7" spans="1:19" ht="15" customHeight="1">
      <c r="A7" s="5">
        <v>3</v>
      </c>
      <c r="B7" s="63">
        <f>Model_Calculations!I97</f>
        <v>9.4544897333741953E-2</v>
      </c>
      <c r="C7" s="63">
        <f>Model_Calculations!E97/Model_Calculations!E176</f>
        <v>0.11690232848476663</v>
      </c>
      <c r="D7" s="63">
        <f>Model_Calculations!C97/Model_Calculations!C175</f>
        <v>0.14428661956030672</v>
      </c>
      <c r="P7" s="73">
        <v>6</v>
      </c>
      <c r="Q7" s="73">
        <v>217</v>
      </c>
      <c r="R7" s="77">
        <v>944.20256249919873</v>
      </c>
      <c r="S7" s="77">
        <v>359.88940352062025</v>
      </c>
    </row>
    <row r="8" spans="1:19" ht="15" customHeight="1">
      <c r="A8" s="6">
        <v>4</v>
      </c>
      <c r="B8" s="64">
        <f>Model_Calculations!I98</f>
        <v>6.6043518234753296E-2</v>
      </c>
      <c r="C8" s="64">
        <f>Model_Calculations!E98/Model_Calculations!E176</f>
        <v>9.6876548558606904E-2</v>
      </c>
      <c r="D8" s="64">
        <f>Model_Calculations!C98/Model_Calculations!C175</f>
        <v>0.17850660353586062</v>
      </c>
      <c r="P8" s="73">
        <v>7</v>
      </c>
      <c r="Q8" s="73">
        <v>175</v>
      </c>
      <c r="R8" s="77">
        <v>667.50627721885257</v>
      </c>
      <c r="S8" s="77">
        <v>298.72122753141207</v>
      </c>
    </row>
    <row r="9" spans="1:19" ht="15" customHeight="1">
      <c r="A9" s="5">
        <v>5</v>
      </c>
      <c r="B9" s="63">
        <f>Model_Calculations!I99</f>
        <v>4.3518234753294513E-2</v>
      </c>
      <c r="C9" s="63">
        <f>Model_Calculations!E99/Model_Calculations!E176</f>
        <v>8.0341821779074202E-2</v>
      </c>
      <c r="D9" s="63">
        <f>Model_Calculations!C99/Model_Calculations!C175</f>
        <v>0.1766739430337303</v>
      </c>
      <c r="P9" s="73">
        <v>8</v>
      </c>
      <c r="Q9" s="73">
        <v>118</v>
      </c>
      <c r="R9" s="77">
        <v>412.90827503031807</v>
      </c>
      <c r="S9" s="77">
        <v>248.01612762275442</v>
      </c>
    </row>
    <row r="10" spans="1:19" ht="15" customHeight="1">
      <c r="A10" s="6">
        <v>6</v>
      </c>
      <c r="B10" s="64">
        <f>Model_Calculations!I100</f>
        <v>3.3251608948820101E-2</v>
      </c>
      <c r="C10" s="64">
        <f>Model_Calculations!E100/Model_Calculations!E176</f>
        <v>6.6662700572221942E-2</v>
      </c>
      <c r="D10" s="64">
        <f>Model_Calculations!C100/Model_Calculations!C175</f>
        <v>0.1457167481426683</v>
      </c>
      <c r="P10" s="73">
        <v>9</v>
      </c>
      <c r="Q10" s="73">
        <v>123</v>
      </c>
      <c r="R10" s="77">
        <v>227.03838904389488</v>
      </c>
      <c r="S10" s="77">
        <v>205.96081003423834</v>
      </c>
    </row>
    <row r="11" spans="1:19" ht="15" customHeight="1">
      <c r="A11" s="5">
        <v>7</v>
      </c>
      <c r="B11" s="63">
        <f>Model_Calculations!I101</f>
        <v>2.6815813668403309E-2</v>
      </c>
      <c r="C11" s="63">
        <f>Model_Calculations!E101/Model_Calculations!E176</f>
        <v>5.5332453666844722E-2</v>
      </c>
      <c r="D11" s="63">
        <f>Model_Calculations!C101/Model_Calculations!C175</f>
        <v>0.10301480629717334</v>
      </c>
      <c r="P11" s="73">
        <v>10</v>
      </c>
      <c r="Q11" s="73">
        <v>94</v>
      </c>
      <c r="R11" s="77">
        <v>112.35373543016526</v>
      </c>
      <c r="S11" s="77">
        <v>171.06529541041809</v>
      </c>
    </row>
    <row r="12" spans="1:19" ht="15" customHeight="1">
      <c r="A12" s="6">
        <v>8</v>
      </c>
      <c r="B12" s="64">
        <f>Model_Calculations!I102</f>
        <v>1.8081520073551946E-2</v>
      </c>
      <c r="C12" s="64">
        <f>Model_Calculations!E102/Model_Calculations!E176</f>
        <v>4.5940293576469143E-2</v>
      </c>
      <c r="D12" s="64">
        <f>Model_Calculations!C102/Model_Calculations!C175</f>
        <v>6.3723244892874911E-2</v>
      </c>
      <c r="P12" s="73">
        <v>11</v>
      </c>
      <c r="Q12" s="73">
        <v>90</v>
      </c>
      <c r="R12" s="77">
        <v>50.545564395804021</v>
      </c>
      <c r="S12" s="77">
        <v>142.10150102101193</v>
      </c>
    </row>
    <row r="13" spans="1:19" ht="15" customHeight="1">
      <c r="A13" s="5">
        <v>9</v>
      </c>
      <c r="B13" s="63">
        <f>Model_Calculations!I103</f>
        <v>1.8847686178363469E-2</v>
      </c>
      <c r="C13" s="63">
        <f>Model_Calculations!E103/Model_Calculations!E176</f>
        <v>3.8150341951199027E-2</v>
      </c>
      <c r="D13" s="63">
        <f>Model_Calculations!C103/Model_Calculations!C175</f>
        <v>3.5038345656951596E-2</v>
      </c>
      <c r="P13" s="73">
        <v>12</v>
      </c>
      <c r="Q13" s="73">
        <v>65</v>
      </c>
      <c r="R13" s="77">
        <v>20.844430000031807</v>
      </c>
      <c r="S13" s="77">
        <v>118.05515088449448</v>
      </c>
    </row>
    <row r="14" spans="1:19" ht="15" customHeight="1">
      <c r="A14" s="6">
        <v>10</v>
      </c>
      <c r="B14" s="64">
        <f>Model_Calculations!I104</f>
        <v>1.4403922770456636E-2</v>
      </c>
      <c r="C14" s="64">
        <f>Model_Calculations!E104/Model_Calculations!E176</f>
        <v>3.1686608315462696E-2</v>
      </c>
      <c r="D14" s="64">
        <f>Model_Calculations!C104/Model_Calculations!C175</f>
        <v>1.7339310036641922E-2</v>
      </c>
      <c r="P14" s="73">
        <v>13</v>
      </c>
      <c r="Q14" s="73">
        <v>59</v>
      </c>
      <c r="R14" s="77">
        <v>7.9347800142745841</v>
      </c>
      <c r="S14" s="77">
        <v>98.087375454703903</v>
      </c>
    </row>
    <row r="15" spans="1:19" ht="15" customHeight="1">
      <c r="A15" s="5">
        <v>11</v>
      </c>
      <c r="B15" s="63">
        <f>Model_Calculations!I105</f>
        <v>1.3790989886607416E-2</v>
      </c>
      <c r="C15" s="63">
        <f>Model_Calculations!E105/Model_Calculations!E176</f>
        <v>2.6321613586725821E-2</v>
      </c>
      <c r="D15" s="63">
        <f>Model_Calculations!C105/Model_Calculations!C175</f>
        <v>7.8005881039945246E-3</v>
      </c>
      <c r="P15" s="73">
        <v>14</v>
      </c>
      <c r="Q15" s="73">
        <v>45</v>
      </c>
      <c r="R15" s="77">
        <v>2.8047559275097163</v>
      </c>
      <c r="S15" s="77">
        <v>81.503676109912305</v>
      </c>
    </row>
    <row r="16" spans="1:19" ht="15" customHeight="1">
      <c r="A16" s="6">
        <v>12</v>
      </c>
      <c r="B16" s="64">
        <f>Model_Calculations!I106</f>
        <v>9.9601593625498006E-3</v>
      </c>
      <c r="C16" s="64">
        <f>Model_Calculations!E106/Model_Calculations!E176</f>
        <v>2.186748233605779E-2</v>
      </c>
      <c r="D16" s="64">
        <f>Model_Calculations!C106/Model_Calculations!C175</f>
        <v>3.2168759936983243E-3</v>
      </c>
      <c r="P16" s="73">
        <v>15</v>
      </c>
      <c r="Q16" s="73">
        <v>47</v>
      </c>
      <c r="R16" s="77">
        <v>0.92532018264303084</v>
      </c>
      <c r="S16" s="77">
        <v>67.728647017922825</v>
      </c>
    </row>
    <row r="17" spans="1:19" ht="15" customHeight="1">
      <c r="A17" s="5">
        <v>13</v>
      </c>
      <c r="B17" s="63">
        <f>Model_Calculations!I107</f>
        <v>9.040760036775973E-3</v>
      </c>
      <c r="C17" s="63">
        <f>Model_Calculations!E107/Model_Calculations!E176</f>
        <v>1.8168829856857378E-2</v>
      </c>
      <c r="D17" s="63">
        <f>Model_Calculations!C107/Model_Calculations!C175</f>
        <v>1.224557512158318E-3</v>
      </c>
      <c r="P17" s="73">
        <v>16</v>
      </c>
      <c r="Q17" s="73">
        <v>42</v>
      </c>
      <c r="R17" s="77">
        <v>0.28619383330578341</v>
      </c>
      <c r="S17" s="77">
        <v>56.285279903994976</v>
      </c>
    </row>
    <row r="18" spans="1:19" ht="15" customHeight="1">
      <c r="A18" s="6">
        <v>14</v>
      </c>
      <c r="B18" s="64">
        <f>Model_Calculations!I108</f>
        <v>6.895494943303708E-3</v>
      </c>
      <c r="C18" s="64">
        <f>Model_Calculations!E108/Model_Calculations!E176</f>
        <v>1.5097013423845191E-2</v>
      </c>
      <c r="D18" s="64">
        <f>Model_Calculations!C108/Model_Calculations!C175</f>
        <v>4.3285194228747515E-4</v>
      </c>
      <c r="P18" s="73">
        <v>17</v>
      </c>
      <c r="Q18" s="73">
        <v>30</v>
      </c>
      <c r="R18" s="77">
        <v>8.3310467150495532E-2</v>
      </c>
      <c r="S18" s="77">
        <v>46.777960543022886</v>
      </c>
    </row>
    <row r="19" spans="1:19" ht="15" customHeight="1">
      <c r="A19" s="5">
        <v>15</v>
      </c>
      <c r="B19" s="63">
        <f>Model_Calculations!I109</f>
        <v>7.2019613852283178E-3</v>
      </c>
      <c r="C19" s="63">
        <f>Model_Calculations!E109/Model_Calculations!E176</f>
        <v>1.2545449996998345E-2</v>
      </c>
      <c r="D19" s="63">
        <f>Model_Calculations!C109/Model_Calculations!C175</f>
        <v>1.4280267112242324E-4</v>
      </c>
      <c r="P19" s="73">
        <v>18</v>
      </c>
      <c r="Q19" s="73">
        <v>14</v>
      </c>
      <c r="R19" s="77">
        <v>2.290420826629596E-2</v>
      </c>
      <c r="S19" s="77">
        <v>38.878463129380357</v>
      </c>
    </row>
    <row r="20" spans="1:19" ht="15" customHeight="1">
      <c r="A20" s="6">
        <v>16</v>
      </c>
      <c r="B20" s="64">
        <f>Model_Calculations!I110</f>
        <v>6.4357952804167942E-3</v>
      </c>
      <c r="C20" s="64">
        <f>Model_Calculations!E110/Model_Calculations!E176</f>
        <v>1.0425782821495982E-2</v>
      </c>
      <c r="D20" s="64">
        <f>Model_Calculations!C110/Model_Calculations!C175</f>
        <v>4.4167677979415589E-5</v>
      </c>
      <c r="P20" s="73">
        <v>19</v>
      </c>
      <c r="Q20" s="73">
        <v>28</v>
      </c>
      <c r="R20" s="77">
        <v>5.9655419291258296E-3</v>
      </c>
      <c r="S20" s="77">
        <v>32.31439271178909</v>
      </c>
    </row>
    <row r="21" spans="1:19" ht="15" customHeight="1">
      <c r="A21" s="5">
        <v>17</v>
      </c>
      <c r="B21" s="63">
        <f>Model_Calculations!I111</f>
        <v>4.5969966288691389E-3</v>
      </c>
      <c r="C21" s="63">
        <f>Model_Calculations!E111/Model_Calculations!E176</f>
        <v>8.6647318497113743E-3</v>
      </c>
      <c r="D21" s="63">
        <f>Model_Calculations!C111/Model_Calculations!C175</f>
        <v>1.2857124987337768E-5</v>
      </c>
      <c r="P21" s="73">
        <v>20</v>
      </c>
      <c r="Q21" s="73">
        <v>27</v>
      </c>
      <c r="R21" s="77">
        <v>1.4760739856046483E-3</v>
      </c>
      <c r="S21" s="77">
        <v>26.859634663373445</v>
      </c>
    </row>
    <row r="22" spans="1:19" ht="15" customHeight="1">
      <c r="A22" s="6">
        <v>18</v>
      </c>
      <c r="B22" s="64">
        <f>Model_Calculations!I112</f>
        <v>2.1452650934722646E-3</v>
      </c>
      <c r="C22" s="64">
        <f>Model_Calculations!E112/Model_Calculations!E176</f>
        <v>7.2014994633026394E-3</v>
      </c>
      <c r="D22" s="64">
        <f>Model_Calculations!C112/Model_Calculations!C175</f>
        <v>3.5347571378253928E-6</v>
      </c>
      <c r="P22" s="73">
        <v>21</v>
      </c>
      <c r="Q22" s="73">
        <v>21</v>
      </c>
      <c r="R22" s="77">
        <v>3.4783802055588718E-4</v>
      </c>
      <c r="S22" s="77">
        <v>22.326454364402927</v>
      </c>
    </row>
    <row r="23" spans="1:19" ht="15" customHeight="1">
      <c r="A23" s="5">
        <v>19</v>
      </c>
      <c r="B23" s="63">
        <f>Model_Calculations!I113</f>
        <v>4.2905301869445292E-3</v>
      </c>
      <c r="C23" s="63">
        <f>Model_Calculations!E113/Model_Calculations!E176</f>
        <v>5.9856296530157831E-3</v>
      </c>
      <c r="D23" s="63">
        <f>Model_Calculations!C113/Model_Calculations!C175</f>
        <v>9.2064923920569604E-7</v>
      </c>
      <c r="P23" s="73">
        <v>22</v>
      </c>
      <c r="Q23" s="73">
        <v>18</v>
      </c>
      <c r="R23" s="77">
        <v>7.8242476763243373E-5</v>
      </c>
      <c r="S23" s="77">
        <v>18.558956623455039</v>
      </c>
    </row>
    <row r="24" spans="1:19" ht="15" customHeight="1">
      <c r="A24" s="6">
        <v>20</v>
      </c>
      <c r="B24" s="64">
        <f>Model_Calculations!I114</f>
        <v>4.1372969659822251E-3</v>
      </c>
      <c r="C24" s="64">
        <f>Model_Calculations!E114/Model_Calculations!E176</f>
        <v>4.975238963770009E-3</v>
      </c>
      <c r="D24" s="64">
        <f>Model_Calculations!C114/Model_Calculations!C175</f>
        <v>2.2779931949239932E-7</v>
      </c>
      <c r="P24" s="73">
        <v>23</v>
      </c>
      <c r="Q24" s="73">
        <v>10</v>
      </c>
      <c r="R24" s="77">
        <v>1.6834606637456491E-5</v>
      </c>
      <c r="S24" s="77">
        <v>15.427667311844925</v>
      </c>
    </row>
    <row r="25" spans="1:19" ht="15" customHeight="1">
      <c r="A25" s="5">
        <v>21</v>
      </c>
      <c r="B25" s="63">
        <f>Model_Calculations!I115</f>
        <v>3.2178976402083971E-3</v>
      </c>
      <c r="C25" s="63">
        <f>Model_Calculations!E115/Model_Calculations!E176</f>
        <v>4.1355531104107493E-3</v>
      </c>
      <c r="D25" s="63">
        <f>Model_Calculations!C115/Model_Calculations!C175</f>
        <v>5.3681092647775466E-8</v>
      </c>
      <c r="P25" s="73">
        <v>24</v>
      </c>
      <c r="Q25" s="73">
        <v>17</v>
      </c>
      <c r="R25" s="77">
        <v>3.4712025063633762E-6</v>
      </c>
      <c r="S25" s="77">
        <v>12.825042336889409</v>
      </c>
    </row>
    <row r="26" spans="1:19" ht="15" customHeight="1">
      <c r="A26" s="6">
        <v>22</v>
      </c>
      <c r="B26" s="64">
        <f>Model_Calculations!I116</f>
        <v>2.7581979773214833E-3</v>
      </c>
      <c r="C26" s="64">
        <f>Model_Calculations!E116/Model_Calculations!E176</f>
        <v>3.4376954592700371E-3</v>
      </c>
      <c r="D26" s="64">
        <f>Model_Calculations!C116/Model_Calculations!C175</f>
        <v>1.2074992944723962E-8</v>
      </c>
      <c r="P26" s="73">
        <v>25</v>
      </c>
      <c r="Q26" s="73">
        <v>20</v>
      </c>
      <c r="R26" s="77">
        <v>6.8711299382779786E-7</v>
      </c>
      <c r="S26" s="77">
        <v>10.661743670684487</v>
      </c>
    </row>
    <row r="27" spans="1:19" ht="15" customHeight="1">
      <c r="A27" s="5">
        <v>23</v>
      </c>
      <c r="B27" s="63">
        <f>Model_Calculations!I117</f>
        <v>1.5323322096230463E-3</v>
      </c>
      <c r="C27" s="63">
        <f>Model_Calculations!E117/Model_Calculations!E176</f>
        <v>2.8576833784950502E-3</v>
      </c>
      <c r="D27" s="63">
        <f>Model_Calculations!C117/Model_Calculations!C175</f>
        <v>2.5980485892540893E-9</v>
      </c>
      <c r="P27" s="73">
        <v>26</v>
      </c>
      <c r="Q27" s="73">
        <v>21</v>
      </c>
      <c r="R27" s="77">
        <v>1.3078051189130303E-7</v>
      </c>
      <c r="S27" s="77">
        <v>8.8635503488396683</v>
      </c>
    </row>
    <row r="28" spans="1:19" ht="15" customHeight="1">
      <c r="A28" s="6">
        <v>24</v>
      </c>
      <c r="B28" s="64">
        <f>Model_Calculations!I118</f>
        <v>2.6049647563591788E-3</v>
      </c>
      <c r="C28" s="64">
        <f>Model_Calculations!E118/Model_Calculations!E176</f>
        <v>2.3755963603444711E-3</v>
      </c>
      <c r="D28" s="64">
        <f>Model_Calculations!C118/Model_Calculations!C175</f>
        <v>5.3570320761799482E-10</v>
      </c>
      <c r="P28" s="73">
        <v>27</v>
      </c>
      <c r="Q28" s="73">
        <v>4</v>
      </c>
      <c r="R28" s="77">
        <v>2.3969969872814336E-8</v>
      </c>
      <c r="S28" s="77">
        <v>7.3687954281734926</v>
      </c>
    </row>
    <row r="29" spans="1:19" ht="15" customHeight="1">
      <c r="A29" s="5">
        <v>25</v>
      </c>
      <c r="B29" s="63">
        <f>Model_Calculations!I119</f>
        <v>3.0646644192460926E-3</v>
      </c>
      <c r="C29" s="63">
        <f>Model_Calculations!E119/Model_Calculations!E176</f>
        <v>1.9748862260010936E-3</v>
      </c>
      <c r="D29" s="63">
        <f>Model_Calculations!C119/Model_Calculations!C175</f>
        <v>1.0604066864862484E-10</v>
      </c>
      <c r="P29" s="73">
        <v>28</v>
      </c>
      <c r="Q29" s="73">
        <v>17</v>
      </c>
      <c r="R29" s="77">
        <v>4.236406993140291E-9</v>
      </c>
      <c r="S29" s="77">
        <v>6.1262388300836745</v>
      </c>
    </row>
    <row r="30" spans="1:19">
      <c r="P30" s="73">
        <v>29</v>
      </c>
      <c r="Q30" s="73">
        <v>9</v>
      </c>
      <c r="R30" s="77">
        <v>7.2291610134245873E-10</v>
      </c>
      <c r="S30" s="77">
        <v>5.0933015741909244</v>
      </c>
    </row>
    <row r="31" spans="1:19">
      <c r="P31" s="73">
        <v>30</v>
      </c>
      <c r="Q31" s="73">
        <v>17</v>
      </c>
      <c r="R31" s="77">
        <v>1.1924903204032437E-10</v>
      </c>
      <c r="S31" s="77">
        <v>4.2345997438427929</v>
      </c>
    </row>
    <row r="32" spans="1:19">
      <c r="P32" s="73">
        <v>31</v>
      </c>
      <c r="Q32" s="73">
        <v>8</v>
      </c>
      <c r="R32" s="77">
        <v>1.9036249492067835E-11</v>
      </c>
      <c r="S32" s="77">
        <v>3.520727118358677</v>
      </c>
    </row>
    <row r="33" spans="16:19">
      <c r="P33" s="73">
        <v>32</v>
      </c>
      <c r="Q33" s="73">
        <v>5</v>
      </c>
      <c r="R33" s="77">
        <v>2.9438767877831498E-12</v>
      </c>
      <c r="S33" s="77">
        <v>2.9272441585649269</v>
      </c>
    </row>
    <row r="34" spans="16:19">
      <c r="P34" s="73">
        <v>33</v>
      </c>
      <c r="Q34" s="73">
        <v>10</v>
      </c>
      <c r="R34" s="77">
        <v>4.4146259187704575E-13</v>
      </c>
      <c r="S34" s="77">
        <v>2.4338382690110714</v>
      </c>
    </row>
    <row r="35" spans="16:19">
      <c r="P35" s="73">
        <v>34</v>
      </c>
      <c r="Q35" s="73">
        <v>6</v>
      </c>
      <c r="R35" s="77">
        <v>6.425445009405452E-14</v>
      </c>
      <c r="S35" s="77">
        <v>2.023626248971766</v>
      </c>
    </row>
    <row r="36" spans="16:19">
      <c r="P36" s="73">
        <v>35</v>
      </c>
      <c r="Q36" s="73">
        <v>5</v>
      </c>
      <c r="R36" s="77">
        <v>9.0849676712380835E-15</v>
      </c>
      <c r="S36" s="77">
        <v>1.6825748032623393</v>
      </c>
    </row>
    <row r="37" spans="16:19">
      <c r="P37" s="73">
        <v>36</v>
      </c>
      <c r="Q37" s="73">
        <v>4</v>
      </c>
      <c r="R37" s="77">
        <v>1.2488466260710745E-15</v>
      </c>
      <c r="S37" s="77">
        <v>1.3990190922300108</v>
      </c>
    </row>
    <row r="38" spans="16:19">
      <c r="P38" s="73">
        <v>37</v>
      </c>
      <c r="Q38" s="73">
        <v>4</v>
      </c>
      <c r="R38" s="77">
        <v>1.670304304154084E-16</v>
      </c>
      <c r="S38" s="77">
        <v>1.1632627054055094</v>
      </c>
    </row>
    <row r="39" spans="16:19">
      <c r="P39" s="73">
        <v>38</v>
      </c>
      <c r="Q39" s="73">
        <v>5</v>
      </c>
      <c r="R39" s="77">
        <v>2.1752051511628045E-17</v>
      </c>
      <c r="S39" s="77">
        <v>0.96724526661558419</v>
      </c>
    </row>
    <row r="40" spans="16:19">
      <c r="P40" s="73">
        <v>39</v>
      </c>
      <c r="Q40" s="73">
        <v>7</v>
      </c>
      <c r="R40" s="77">
        <v>2.7600937613177574E-18</v>
      </c>
      <c r="S40" s="77">
        <v>0.80426622000883985</v>
      </c>
    </row>
    <row r="41" spans="16:19">
      <c r="P41" s="73">
        <v>40</v>
      </c>
      <c r="Q41" s="73">
        <v>5</v>
      </c>
      <c r="R41" s="77">
        <v>3.4146961393563052E-19</v>
      </c>
      <c r="S41" s="77">
        <v>0.66875528913124649</v>
      </c>
    </row>
    <row r="42" spans="16:19">
      <c r="P42" s="73">
        <v>41</v>
      </c>
      <c r="Q42" s="73">
        <v>2</v>
      </c>
      <c r="R42" s="77">
        <v>4.1215106486067688E-20</v>
      </c>
      <c r="S42" s="77">
        <v>0.55608171325426226</v>
      </c>
    </row>
    <row r="43" spans="16:19">
      <c r="P43" s="73">
        <v>42</v>
      </c>
      <c r="Q43" s="73">
        <v>8</v>
      </c>
      <c r="R43" s="77">
        <v>4.8561864774147216E-21</v>
      </c>
      <c r="S43" s="77">
        <v>0.46239570314463108</v>
      </c>
    </row>
    <row r="44" spans="16:19">
      <c r="P44" s="73">
        <v>43</v>
      </c>
      <c r="Q44" s="73">
        <v>1</v>
      </c>
      <c r="R44" s="77">
        <v>5.5887556139701824E-22</v>
      </c>
      <c r="S44" s="77">
        <v>0.38449666916547831</v>
      </c>
    </row>
    <row r="45" spans="16:19">
      <c r="P45" s="73">
        <v>44</v>
      </c>
      <c r="Q45" s="73">
        <v>4</v>
      </c>
      <c r="R45" s="77">
        <v>6.285656762919199E-23</v>
      </c>
      <c r="S45" s="77">
        <v>0.31972369676580636</v>
      </c>
    </row>
    <row r="46" spans="16:19">
      <c r="P46" s="73">
        <v>45</v>
      </c>
      <c r="Q46" s="73">
        <v>7</v>
      </c>
      <c r="R46" s="77">
        <v>6.9123603077766026E-24</v>
      </c>
      <c r="S46" s="77">
        <v>0.26586451015694362</v>
      </c>
    </row>
    <row r="47" spans="16:19">
      <c r="P47" s="73">
        <v>46</v>
      </c>
      <c r="Q47" s="73">
        <v>2</v>
      </c>
      <c r="R47" s="77">
        <v>7.4362974902945211E-25</v>
      </c>
      <c r="S47" s="77">
        <v>0.22107980090161417</v>
      </c>
    </row>
    <row r="48" spans="16:19">
      <c r="P48" s="73">
        <v>47</v>
      </c>
      <c r="Q48" s="73">
        <v>4</v>
      </c>
      <c r="R48" s="77">
        <v>7.8297359644584215E-26</v>
      </c>
      <c r="S48" s="77">
        <v>0.18384032631841496</v>
      </c>
    </row>
    <row r="49" spans="16:19">
      <c r="P49" s="73">
        <v>48</v>
      </c>
      <c r="Q49" s="73">
        <v>1</v>
      </c>
      <c r="R49" s="77">
        <v>8.0722406199619702E-27</v>
      </c>
      <c r="S49" s="77">
        <v>0.15287462133107527</v>
      </c>
    </row>
    <row r="50" spans="16:19">
      <c r="P50" s="73">
        <v>49</v>
      </c>
      <c r="Q50" s="73">
        <v>2</v>
      </c>
      <c r="R50" s="77">
        <v>8.1524142307276946E-28</v>
      </c>
      <c r="S50" s="77">
        <v>0.12712553184874331</v>
      </c>
    </row>
    <row r="51" spans="16:19">
      <c r="P51" s="73">
        <v>50</v>
      </c>
      <c r="Q51" s="73">
        <v>2</v>
      </c>
      <c r="R51" s="77">
        <v>8.0687164444177413E-29</v>
      </c>
      <c r="S51" s="77">
        <v>0.10571408054721326</v>
      </c>
    </row>
    <row r="52" spans="16:19">
      <c r="P52" s="73">
        <v>51</v>
      </c>
      <c r="Q52" s="73">
        <v>3</v>
      </c>
      <c r="R52" s="77">
        <v>7.8292921097651912E-30</v>
      </c>
      <c r="S52" s="77">
        <v>8.7909427485650712E-2</v>
      </c>
    </row>
    <row r="53" spans="16:19">
      <c r="P53" s="73">
        <v>52</v>
      </c>
      <c r="Q53" s="73">
        <v>1</v>
      </c>
      <c r="R53" s="77">
        <v>7.4508766320772197E-31</v>
      </c>
      <c r="S53" s="77">
        <v>7.3103897016709829E-2</v>
      </c>
    </row>
    <row r="54" spans="16:19">
      <c r="P54" s="73">
        <v>53</v>
      </c>
      <c r="Q54" s="73">
        <v>1</v>
      </c>
      <c r="R54" s="77">
        <v>6.9569634620569631E-32</v>
      </c>
      <c r="S54" s="77">
        <v>6.079221613419343E-2</v>
      </c>
    </row>
    <row r="55" spans="16:19">
      <c r="P55" s="73">
        <v>54</v>
      </c>
      <c r="Q55" s="73">
        <v>3</v>
      </c>
      <c r="R55" s="77">
        <v>6.375499001348725E-33</v>
      </c>
      <c r="S55" s="77">
        <v>5.0554253733343581E-2</v>
      </c>
    </row>
    <row r="56" spans="16:19">
      <c r="P56" s="73">
        <v>55</v>
      </c>
      <c r="Q56" s="73">
        <v>2</v>
      </c>
      <c r="R56" s="77">
        <v>5.7364037625318888E-34</v>
      </c>
      <c r="S56" s="77">
        <v>4.2040670201806796E-2</v>
      </c>
    </row>
    <row r="57" spans="16:19">
      <c r="P57" s="73">
        <v>56</v>
      </c>
      <c r="Q57" s="73">
        <v>2</v>
      </c>
      <c r="R57" s="77">
        <v>5.0692055818201746E-35</v>
      </c>
      <c r="S57" s="77">
        <v>3.4960986439691602E-2</v>
      </c>
    </row>
    <row r="58" spans="16:19">
      <c r="P58" s="73">
        <v>57</v>
      </c>
      <c r="Q58" s="73">
        <v>1</v>
      </c>
      <c r="R58" s="77">
        <v>4.4010192499874333E-36</v>
      </c>
      <c r="S58" s="77">
        <v>2.9073664251432877E-2</v>
      </c>
    </row>
    <row r="59" spans="16:19">
      <c r="P59" s="73">
        <v>58</v>
      </c>
      <c r="Q59" s="73">
        <v>1</v>
      </c>
      <c r="R59" s="77">
        <v>3.7550307174047614E-37</v>
      </c>
      <c r="S59" s="77">
        <v>2.4177858906660028E-2</v>
      </c>
    </row>
    <row r="60" spans="16:19">
      <c r="P60" s="73">
        <v>61</v>
      </c>
      <c r="Q60" s="73">
        <v>2</v>
      </c>
      <c r="R60" s="77">
        <v>3.0462944443810322E-38</v>
      </c>
      <c r="S60" s="77">
        <v>2.010672989696936E-2</v>
      </c>
    </row>
    <row r="61" spans="16:19">
      <c r="P61" s="73">
        <v>62</v>
      </c>
      <c r="Q61" s="73">
        <v>1</v>
      </c>
      <c r="R61" s="77">
        <v>2.4314671606696152E-39</v>
      </c>
      <c r="S61" s="77">
        <v>1.6721174358614387E-2</v>
      </c>
    </row>
    <row r="62" spans="16:19">
      <c r="P62" s="73">
        <v>64</v>
      </c>
      <c r="Q62" s="73">
        <v>3</v>
      </c>
      <c r="R62" s="77">
        <v>1.8800814040430876E-40</v>
      </c>
      <c r="S62" s="77">
        <v>1.3905781410900122E-2</v>
      </c>
    </row>
    <row r="63" spans="16:19">
      <c r="P63" s="73">
        <v>66</v>
      </c>
      <c r="Q63" s="73">
        <v>1</v>
      </c>
      <c r="R63" s="77">
        <v>1.4096812968074443E-41</v>
      </c>
      <c r="S63" s="77">
        <v>1.1564506721666168E-2</v>
      </c>
    </row>
    <row r="64" spans="16:19">
      <c r="P64" s="73">
        <v>67</v>
      </c>
      <c r="Q64" s="73">
        <v>1</v>
      </c>
      <c r="R64" s="77">
        <v>1.0412004674847432E-42</v>
      </c>
      <c r="S64" s="77">
        <v>9.6174581268265464E-3</v>
      </c>
    </row>
    <row r="65" spans="16:19">
      <c r="P65" s="73">
        <v>70</v>
      </c>
      <c r="Q65" s="73">
        <v>3</v>
      </c>
      <c r="R65" s="77">
        <v>7.3607917992688107E-44</v>
      </c>
      <c r="S65" s="77">
        <v>7.9982996783498888E-3</v>
      </c>
    </row>
    <row r="66" spans="16:19">
      <c r="P66" s="73">
        <v>71</v>
      </c>
      <c r="Q66" s="73">
        <v>2</v>
      </c>
      <c r="R66" s="77">
        <v>5.1304375381979404E-45</v>
      </c>
      <c r="S66" s="77">
        <v>6.6517566731456434E-3</v>
      </c>
    </row>
    <row r="67" spans="16:19">
      <c r="P67" s="73">
        <v>72</v>
      </c>
      <c r="Q67" s="73">
        <v>1</v>
      </c>
      <c r="R67" s="77">
        <v>3.5262258720694675E-46</v>
      </c>
      <c r="S67" s="77">
        <v>5.5319253780462688E-3</v>
      </c>
    </row>
    <row r="68" spans="16:19">
      <c r="P68" s="73">
        <v>74</v>
      </c>
      <c r="Q68" s="73">
        <v>1</v>
      </c>
      <c r="R68" s="77">
        <v>2.3581239395532931E-47</v>
      </c>
      <c r="S68" s="77">
        <v>4.6006450031598383E-3</v>
      </c>
    </row>
    <row r="69" spans="16:19">
      <c r="P69" s="73">
        <v>76</v>
      </c>
      <c r="Q69" s="73">
        <v>1</v>
      </c>
      <c r="R69" s="77">
        <v>1.5354697128061362E-48</v>
      </c>
      <c r="S69" s="77">
        <v>3.8261628939018767E-3</v>
      </c>
    </row>
    <row r="70" spans="16:19">
      <c r="P70" s="73">
        <v>82</v>
      </c>
      <c r="Q70" s="73">
        <v>1</v>
      </c>
      <c r="R70" s="77">
        <v>9.2664976818942167E-50</v>
      </c>
      <c r="S70" s="77">
        <v>3.1821047679760298E-3</v>
      </c>
    </row>
    <row r="71" spans="16:19">
      <c r="P71" s="73">
        <v>83</v>
      </c>
      <c r="Q71" s="73">
        <v>1</v>
      </c>
      <c r="R71" s="77">
        <v>5.5249168781181806E-51</v>
      </c>
      <c r="S71" s="77">
        <v>2.6464668137100261E-3</v>
      </c>
    </row>
    <row r="72" spans="16:19">
      <c r="P72" s="73">
        <v>85</v>
      </c>
      <c r="Q72" s="73">
        <v>1</v>
      </c>
      <c r="R72" s="77">
        <v>3.2165850728998334E-52</v>
      </c>
      <c r="S72" s="77">
        <v>2.2010012107512044E-3</v>
      </c>
    </row>
    <row r="73" spans="16:19">
      <c r="P73" s="73">
        <v>90</v>
      </c>
      <c r="Q73" s="73">
        <v>1</v>
      </c>
      <c r="R73" s="77">
        <v>1.768645331993396E-53</v>
      </c>
      <c r="S73" s="77">
        <v>1.8305364375850812E-3</v>
      </c>
    </row>
    <row r="74" spans="16:19">
      <c r="P74" s="73">
        <v>104</v>
      </c>
      <c r="Q74" s="73">
        <v>1</v>
      </c>
      <c r="R74" s="77">
        <v>8.4158043855239866E-55</v>
      </c>
      <c r="S74" s="77">
        <v>1.5224612258724524E-3</v>
      </c>
    </row>
    <row r="75" spans="16:19">
      <c r="P75" s="73">
        <v>108</v>
      </c>
      <c r="Q75" s="73">
        <v>1</v>
      </c>
      <c r="R75" s="77">
        <v>3.8562048477102583E-56</v>
      </c>
      <c r="S75" s="77">
        <v>1.2662411666367283E-3</v>
      </c>
    </row>
    <row r="76" spans="16:19">
      <c r="P76" s="73">
        <v>112</v>
      </c>
      <c r="Q76" s="73">
        <v>1</v>
      </c>
      <c r="R76" s="77">
        <v>1.7038458194256326E-57</v>
      </c>
      <c r="S76" s="77">
        <v>1.053146468411385E-3</v>
      </c>
    </row>
    <row r="77" spans="16:19">
      <c r="P77" s="73">
        <v>113</v>
      </c>
      <c r="Q77" s="73">
        <v>1</v>
      </c>
      <c r="R77" s="77">
        <v>7.4617392565003166E-59</v>
      </c>
      <c r="S77" s="77">
        <v>8.7591434448619965E-4</v>
      </c>
    </row>
    <row r="78" spans="16:19">
      <c r="P78" s="73">
        <v>121</v>
      </c>
      <c r="Q78" s="73">
        <v>1</v>
      </c>
      <c r="R78" s="77">
        <v>3.0517075916129212E-60</v>
      </c>
      <c r="S78" s="77">
        <v>7.2851470389758506E-4</v>
      </c>
    </row>
    <row r="79" spans="16:19">
      <c r="P79" s="73">
        <v>127</v>
      </c>
      <c r="Q79" s="73">
        <v>1</v>
      </c>
      <c r="R79" s="77">
        <v>1.1891247447658102E-61</v>
      </c>
      <c r="S79" s="77">
        <v>6.059231618777243E-4</v>
      </c>
    </row>
    <row r="80" spans="16:19">
      <c r="P80" s="73">
        <v>141</v>
      </c>
      <c r="Q80" s="73">
        <v>1</v>
      </c>
      <c r="R80" s="77">
        <v>4.1734625743846045E-63</v>
      </c>
      <c r="S80" s="77">
        <v>5.0396675782147355E-4</v>
      </c>
    </row>
    <row r="81" spans="16:19">
      <c r="P81" s="73">
        <v>156</v>
      </c>
      <c r="Q81" s="73">
        <v>1</v>
      </c>
      <c r="R81" s="77">
        <v>1.3239151268668012E-64</v>
      </c>
      <c r="S81" s="77">
        <v>4.1917047043833468E-4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Model_Calculations</vt:lpstr>
      <vt:lpstr>Observed_vs_Expected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Levaku, Anushka</cp:lastModifiedBy>
  <cp:revision>1</cp:revision>
  <dcterms:created xsi:type="dcterms:W3CDTF">2026-02-25T02:10:57Z</dcterms:created>
  <dcterms:modified xsi:type="dcterms:W3CDTF">2026-02-25T17:32:41Z</dcterms:modified>
  <dc:language>en-US</dc:language>
</cp:coreProperties>
</file>